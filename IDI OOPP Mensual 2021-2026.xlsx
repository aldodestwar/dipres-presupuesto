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do Manuel Herrera\Downloads\Ejecucion presupuestaria imversion\"/>
    </mc:Choice>
  </mc:AlternateContent>
  <xr:revisionPtr revIDLastSave="0" documentId="13_ncr:1_{688B9435-8572-4C23-B525-7D5790880165}" xr6:coauthVersionLast="47" xr6:coauthVersionMax="47" xr10:uidLastSave="{00000000-0000-0000-0000-000000000000}"/>
  <bookViews>
    <workbookView xWindow="-108" yWindow="-108" windowWidth="23256" windowHeight="12456" xr2:uid="{00000000-000D-0000-FFFF-FFFF00000000}"/>
  </bookViews>
  <sheets>
    <sheet name="Dashboard" sheetId="3" r:id="rId1"/>
    <sheet name="MOP_Mes_Corrien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A161" i="2" l="1"/>
  <c r="BZ161" i="2"/>
  <c r="BY161" i="2"/>
  <c r="BX161" i="2"/>
  <c r="BW161" i="2"/>
  <c r="BV161" i="2"/>
  <c r="BU161" i="2"/>
  <c r="BT161" i="2"/>
  <c r="BS161" i="2"/>
  <c r="BR161" i="2"/>
  <c r="BQ161" i="2"/>
  <c r="BP161" i="2"/>
  <c r="BN161" i="2"/>
  <c r="BM161" i="2"/>
  <c r="BL161" i="2"/>
  <c r="BK161" i="2"/>
  <c r="BJ161" i="2"/>
  <c r="BI161" i="2"/>
  <c r="BH161" i="2"/>
  <c r="BG161" i="2"/>
  <c r="BF161" i="2"/>
  <c r="BE161" i="2"/>
  <c r="BD161" i="2"/>
  <c r="BC161" i="2"/>
  <c r="BA161" i="2"/>
  <c r="AZ161" i="2"/>
  <c r="AY161" i="2"/>
  <c r="AX161" i="2"/>
  <c r="AW161" i="2"/>
  <c r="AV161" i="2"/>
  <c r="AU161" i="2"/>
  <c r="AT161" i="2"/>
  <c r="AS161" i="2"/>
  <c r="AR161" i="2"/>
  <c r="AQ161" i="2"/>
  <c r="AP161" i="2"/>
  <c r="AN161" i="2"/>
  <c r="AM161" i="2"/>
  <c r="AL161" i="2"/>
  <c r="AK161" i="2"/>
  <c r="AJ161" i="2"/>
  <c r="AI161" i="2"/>
  <c r="AH161" i="2"/>
  <c r="AG161" i="2"/>
  <c r="AF161" i="2"/>
  <c r="AE161" i="2"/>
  <c r="AD161" i="2"/>
  <c r="AC161" i="2"/>
  <c r="B161" i="2"/>
  <c r="CA160" i="2"/>
  <c r="BZ160" i="2"/>
  <c r="BY160" i="2"/>
  <c r="BX160" i="2"/>
  <c r="BW160" i="2"/>
  <c r="BV160" i="2"/>
  <c r="BU160" i="2"/>
  <c r="BT160" i="2"/>
  <c r="BS160" i="2"/>
  <c r="BR160" i="2"/>
  <c r="BQ160" i="2"/>
  <c r="BP160" i="2"/>
  <c r="BN160" i="2"/>
  <c r="BM160" i="2"/>
  <c r="BL160" i="2"/>
  <c r="BK160" i="2"/>
  <c r="BJ160" i="2"/>
  <c r="BI160" i="2"/>
  <c r="BH160" i="2"/>
  <c r="BG160" i="2"/>
  <c r="BF160" i="2"/>
  <c r="BE160" i="2"/>
  <c r="BD160" i="2"/>
  <c r="BC160" i="2"/>
  <c r="BA160" i="2"/>
  <c r="AZ160" i="2"/>
  <c r="AY160" i="2"/>
  <c r="AX160" i="2"/>
  <c r="AW160" i="2"/>
  <c r="AV160" i="2"/>
  <c r="AU160" i="2"/>
  <c r="AT160" i="2"/>
  <c r="AS160" i="2"/>
  <c r="AR160" i="2"/>
  <c r="AQ160" i="2"/>
  <c r="AP160" i="2"/>
  <c r="AN160" i="2"/>
  <c r="AM160" i="2"/>
  <c r="AL160" i="2"/>
  <c r="AK160" i="2"/>
  <c r="AJ160" i="2"/>
  <c r="AI160" i="2"/>
  <c r="AH160" i="2"/>
  <c r="AG160" i="2"/>
  <c r="AF160" i="2"/>
  <c r="AE160" i="2"/>
  <c r="AD160" i="2"/>
  <c r="AC160" i="2"/>
  <c r="B160" i="2"/>
  <c r="CA159" i="2"/>
  <c r="BZ159" i="2"/>
  <c r="BY159" i="2"/>
  <c r="BX159" i="2"/>
  <c r="BW159" i="2"/>
  <c r="BV159" i="2"/>
  <c r="BU159" i="2"/>
  <c r="BT159" i="2"/>
  <c r="BS159" i="2"/>
  <c r="BR159" i="2"/>
  <c r="BQ159" i="2"/>
  <c r="BP159" i="2"/>
  <c r="BN159" i="2"/>
  <c r="BM159" i="2"/>
  <c r="BL159" i="2"/>
  <c r="BK159" i="2"/>
  <c r="BJ159" i="2"/>
  <c r="BI159" i="2"/>
  <c r="BH159" i="2"/>
  <c r="BG159" i="2"/>
  <c r="BF159" i="2"/>
  <c r="BE159" i="2"/>
  <c r="BD159" i="2"/>
  <c r="BC159" i="2"/>
  <c r="BA159" i="2"/>
  <c r="AZ159" i="2"/>
  <c r="AY159" i="2"/>
  <c r="AX159" i="2"/>
  <c r="AW159" i="2"/>
  <c r="AV159" i="2"/>
  <c r="AU159" i="2"/>
  <c r="AT159" i="2"/>
  <c r="AS159" i="2"/>
  <c r="AR159" i="2"/>
  <c r="AQ159" i="2"/>
  <c r="AP159" i="2"/>
  <c r="AN159" i="2"/>
  <c r="AM159" i="2"/>
  <c r="AL159" i="2"/>
  <c r="AK159" i="2"/>
  <c r="AJ159" i="2"/>
  <c r="AI159" i="2"/>
  <c r="AH159" i="2"/>
  <c r="AG159" i="2"/>
  <c r="AF159" i="2"/>
  <c r="AE159" i="2"/>
  <c r="AD159" i="2"/>
  <c r="AC159" i="2"/>
  <c r="B159" i="2"/>
  <c r="CA158" i="2"/>
  <c r="BZ158" i="2"/>
  <c r="BY158" i="2"/>
  <c r="BX158" i="2"/>
  <c r="BW158" i="2"/>
  <c r="BV158" i="2"/>
  <c r="BU158" i="2"/>
  <c r="BT158" i="2"/>
  <c r="BS158" i="2"/>
  <c r="BR158" i="2"/>
  <c r="BQ158" i="2"/>
  <c r="BP158" i="2"/>
  <c r="BN158" i="2"/>
  <c r="BM158" i="2"/>
  <c r="BL158" i="2"/>
  <c r="BK158" i="2"/>
  <c r="BJ158" i="2"/>
  <c r="BI158" i="2"/>
  <c r="BH158" i="2"/>
  <c r="BG158" i="2"/>
  <c r="BF158" i="2"/>
  <c r="BE158" i="2"/>
  <c r="BD158" i="2"/>
  <c r="BC158" i="2"/>
  <c r="BA158" i="2"/>
  <c r="AZ158" i="2"/>
  <c r="AY158" i="2"/>
  <c r="AX158" i="2"/>
  <c r="AW158" i="2"/>
  <c r="AV158" i="2"/>
  <c r="AU158" i="2"/>
  <c r="AT158" i="2"/>
  <c r="AS158" i="2"/>
  <c r="AR158" i="2"/>
  <c r="AQ158" i="2"/>
  <c r="AP158" i="2"/>
  <c r="AN158" i="2"/>
  <c r="AM158" i="2"/>
  <c r="AL158" i="2"/>
  <c r="AK158" i="2"/>
  <c r="AJ158" i="2"/>
  <c r="AI158" i="2"/>
  <c r="AH158" i="2"/>
  <c r="AG158" i="2"/>
  <c r="AF158" i="2"/>
  <c r="AE158" i="2"/>
  <c r="AD158" i="2"/>
  <c r="AC158" i="2"/>
  <c r="B158" i="2"/>
  <c r="CA157" i="2"/>
  <c r="BZ157" i="2"/>
  <c r="BY157" i="2"/>
  <c r="BX157" i="2"/>
  <c r="BW157" i="2"/>
  <c r="BV157" i="2"/>
  <c r="BU157" i="2"/>
  <c r="BT157" i="2"/>
  <c r="BS157" i="2"/>
  <c r="BR157" i="2"/>
  <c r="BQ157" i="2"/>
  <c r="BP157" i="2"/>
  <c r="BN157" i="2"/>
  <c r="BM157" i="2"/>
  <c r="BL157" i="2"/>
  <c r="BK157" i="2"/>
  <c r="BJ157" i="2"/>
  <c r="BI157" i="2"/>
  <c r="BH157" i="2"/>
  <c r="BG157" i="2"/>
  <c r="BF157" i="2"/>
  <c r="BE157" i="2"/>
  <c r="BD157" i="2"/>
  <c r="BC157" i="2"/>
  <c r="BA157" i="2"/>
  <c r="AZ157" i="2"/>
  <c r="AY157" i="2"/>
  <c r="AX157" i="2"/>
  <c r="AW157" i="2"/>
  <c r="AV157" i="2"/>
  <c r="AU157" i="2"/>
  <c r="AT157" i="2"/>
  <c r="AS157" i="2"/>
  <c r="AR157" i="2"/>
  <c r="AQ157" i="2"/>
  <c r="AP157" i="2"/>
  <c r="AN157" i="2"/>
  <c r="AM157" i="2"/>
  <c r="AL157" i="2"/>
  <c r="AK157" i="2"/>
  <c r="AJ157" i="2"/>
  <c r="AI157" i="2"/>
  <c r="AH157" i="2"/>
  <c r="AG157" i="2"/>
  <c r="AF157" i="2"/>
  <c r="AE157" i="2"/>
  <c r="AD157" i="2"/>
  <c r="AC157" i="2"/>
  <c r="B157" i="2"/>
  <c r="CA156" i="2"/>
  <c r="BZ156" i="2"/>
  <c r="BY156" i="2"/>
  <c r="BX156" i="2"/>
  <c r="BW156" i="2"/>
  <c r="BV156" i="2"/>
  <c r="BU156" i="2"/>
  <c r="BT156" i="2"/>
  <c r="BS156" i="2"/>
  <c r="BR156" i="2"/>
  <c r="BQ156" i="2"/>
  <c r="BP156" i="2"/>
  <c r="BN156" i="2"/>
  <c r="BM156" i="2"/>
  <c r="BL156" i="2"/>
  <c r="BK156" i="2"/>
  <c r="BJ156" i="2"/>
  <c r="BI156" i="2"/>
  <c r="BH156" i="2"/>
  <c r="BG156" i="2"/>
  <c r="BF156" i="2"/>
  <c r="BE156" i="2"/>
  <c r="BD156" i="2"/>
  <c r="BC156" i="2"/>
  <c r="BA156" i="2"/>
  <c r="AZ156" i="2"/>
  <c r="AY156" i="2"/>
  <c r="AX156" i="2"/>
  <c r="AW156" i="2"/>
  <c r="AV156" i="2"/>
  <c r="AU156" i="2"/>
  <c r="AT156" i="2"/>
  <c r="AS156" i="2"/>
  <c r="AR156" i="2"/>
  <c r="AQ156" i="2"/>
  <c r="AP156" i="2"/>
  <c r="AN156" i="2"/>
  <c r="AM156" i="2"/>
  <c r="AL156" i="2"/>
  <c r="AK156" i="2"/>
  <c r="AJ156" i="2"/>
  <c r="AI156" i="2"/>
  <c r="AH156" i="2"/>
  <c r="AG156" i="2"/>
  <c r="AF156" i="2"/>
  <c r="AE156" i="2"/>
  <c r="AD156" i="2"/>
  <c r="AC156" i="2"/>
  <c r="B156" i="2"/>
  <c r="CA116" i="2"/>
  <c r="BZ116" i="2"/>
  <c r="BY116" i="2"/>
  <c r="BX116" i="2"/>
  <c r="BW116" i="2"/>
  <c r="BV116" i="2"/>
  <c r="BU116" i="2"/>
  <c r="BT116" i="2"/>
  <c r="BS116" i="2"/>
  <c r="BR116" i="2"/>
  <c r="BQ116" i="2"/>
  <c r="BP116" i="2"/>
  <c r="BN116" i="2"/>
  <c r="BM116" i="2"/>
  <c r="BL116" i="2"/>
  <c r="BK116" i="2"/>
  <c r="BJ116" i="2"/>
  <c r="BI116" i="2"/>
  <c r="BH116" i="2"/>
  <c r="BG116" i="2"/>
  <c r="BF116" i="2"/>
  <c r="BE116" i="2"/>
  <c r="BD116" i="2"/>
  <c r="BC116" i="2"/>
  <c r="BA116" i="2"/>
  <c r="AZ116" i="2"/>
  <c r="AY116" i="2"/>
  <c r="AX116" i="2"/>
  <c r="AW116" i="2"/>
  <c r="AV116" i="2"/>
  <c r="AU116" i="2"/>
  <c r="AT116" i="2"/>
  <c r="AS116" i="2"/>
  <c r="AR116" i="2"/>
  <c r="AQ116" i="2"/>
  <c r="AP116" i="2"/>
  <c r="AN116" i="2"/>
  <c r="AM116" i="2"/>
  <c r="AL116" i="2"/>
  <c r="AK116" i="2"/>
  <c r="AJ116" i="2"/>
  <c r="AI116" i="2"/>
  <c r="AH116" i="2"/>
  <c r="AG116" i="2"/>
  <c r="AF116" i="2"/>
  <c r="AE116" i="2"/>
  <c r="AD116" i="2"/>
  <c r="AC116" i="2"/>
  <c r="AA116" i="2"/>
  <c r="Z116" i="2"/>
  <c r="Y116" i="2"/>
  <c r="X116" i="2"/>
  <c r="W116" i="2"/>
  <c r="V116" i="2"/>
  <c r="U116" i="2"/>
  <c r="T116" i="2"/>
  <c r="S116" i="2"/>
  <c r="R116" i="2"/>
  <c r="Q116" i="2"/>
  <c r="P116" i="2"/>
  <c r="N116" i="2"/>
  <c r="M116" i="2"/>
  <c r="L116" i="2"/>
  <c r="K116" i="2"/>
  <c r="J116" i="2"/>
  <c r="I116" i="2"/>
  <c r="H116" i="2"/>
  <c r="G116" i="2"/>
  <c r="F116" i="2"/>
  <c r="E116" i="2"/>
  <c r="D116" i="2"/>
  <c r="C116" i="2"/>
  <c r="CB115" i="2"/>
  <c r="BO115" i="2"/>
  <c r="BB115" i="2"/>
  <c r="H27" i="3" s="1"/>
  <c r="AO115" i="2"/>
  <c r="AB115" i="2"/>
  <c r="O115" i="2"/>
  <c r="CB114" i="2"/>
  <c r="BO114" i="2"/>
  <c r="BB114" i="2"/>
  <c r="H26" i="3" s="1"/>
  <c r="AO114" i="2"/>
  <c r="AB114" i="2"/>
  <c r="O114" i="2"/>
  <c r="CB113" i="2"/>
  <c r="BO113" i="2"/>
  <c r="BB113" i="2"/>
  <c r="AO113" i="2"/>
  <c r="AB113" i="2"/>
  <c r="O113" i="2"/>
  <c r="CB112" i="2"/>
  <c r="BO112" i="2"/>
  <c r="BB112" i="2"/>
  <c r="H24" i="3" s="1"/>
  <c r="AO112" i="2"/>
  <c r="AB112" i="2"/>
  <c r="O112" i="2"/>
  <c r="CB111" i="2"/>
  <c r="BO111" i="2"/>
  <c r="BB111" i="2"/>
  <c r="AO111" i="2"/>
  <c r="AB111" i="2"/>
  <c r="O111" i="2"/>
  <c r="CB110" i="2"/>
  <c r="BO110" i="2"/>
  <c r="BB110" i="2"/>
  <c r="AO110" i="2"/>
  <c r="AB110" i="2"/>
  <c r="O110" i="2"/>
  <c r="CA104" i="2"/>
  <c r="BZ104" i="2"/>
  <c r="BY104" i="2"/>
  <c r="BX104" i="2"/>
  <c r="BW104" i="2"/>
  <c r="BV104" i="2"/>
  <c r="BU104" i="2"/>
  <c r="BT104" i="2"/>
  <c r="BS104" i="2"/>
  <c r="BR104" i="2"/>
  <c r="BQ104" i="2"/>
  <c r="BP104" i="2"/>
  <c r="BN104" i="2"/>
  <c r="BM104" i="2"/>
  <c r="BL104" i="2"/>
  <c r="BK104" i="2"/>
  <c r="BJ104" i="2"/>
  <c r="BI104" i="2"/>
  <c r="BH104" i="2"/>
  <c r="BG104" i="2"/>
  <c r="BF104" i="2"/>
  <c r="BE104" i="2"/>
  <c r="BD104" i="2"/>
  <c r="BC104" i="2"/>
  <c r="BA104" i="2"/>
  <c r="AZ104" i="2"/>
  <c r="AY104" i="2"/>
  <c r="AX104" i="2"/>
  <c r="AW104" i="2"/>
  <c r="AV104" i="2"/>
  <c r="AU104" i="2"/>
  <c r="AT104" i="2"/>
  <c r="AS104" i="2"/>
  <c r="AR104" i="2"/>
  <c r="AQ104" i="2"/>
  <c r="AP104" i="2"/>
  <c r="AN104" i="2"/>
  <c r="AM104" i="2"/>
  <c r="AL104" i="2"/>
  <c r="AK104" i="2"/>
  <c r="AJ104" i="2"/>
  <c r="AI104" i="2"/>
  <c r="AH104" i="2"/>
  <c r="AG104" i="2"/>
  <c r="AF104" i="2"/>
  <c r="AE104" i="2"/>
  <c r="AD104" i="2"/>
  <c r="AC104" i="2"/>
  <c r="AA104" i="2"/>
  <c r="Z104" i="2"/>
  <c r="Y104" i="2"/>
  <c r="X104" i="2"/>
  <c r="W104" i="2"/>
  <c r="V104" i="2"/>
  <c r="U104" i="2"/>
  <c r="T104" i="2"/>
  <c r="S104" i="2"/>
  <c r="R104" i="2"/>
  <c r="Q104" i="2"/>
  <c r="P104" i="2"/>
  <c r="N104" i="2"/>
  <c r="M104" i="2"/>
  <c r="L104" i="2"/>
  <c r="K104" i="2"/>
  <c r="J104" i="2"/>
  <c r="I104" i="2"/>
  <c r="H104" i="2"/>
  <c r="G104" i="2"/>
  <c r="F104" i="2"/>
  <c r="E104" i="2"/>
  <c r="D104" i="2"/>
  <c r="C104" i="2"/>
  <c r="CB103" i="2"/>
  <c r="BO103" i="2"/>
  <c r="BB103" i="2"/>
  <c r="AO103" i="2"/>
  <c r="AB103" i="2"/>
  <c r="O103" i="2"/>
  <c r="CB102" i="2"/>
  <c r="BO102" i="2"/>
  <c r="BB102" i="2"/>
  <c r="G26" i="3" s="1"/>
  <c r="AO102" i="2"/>
  <c r="AB102" i="2"/>
  <c r="O102" i="2"/>
  <c r="CB101" i="2"/>
  <c r="BO101" i="2"/>
  <c r="BB101" i="2"/>
  <c r="G25" i="3" s="1"/>
  <c r="AO101" i="2"/>
  <c r="AB101" i="2"/>
  <c r="O101" i="2"/>
  <c r="CB100" i="2"/>
  <c r="BO100" i="2"/>
  <c r="BB100" i="2"/>
  <c r="G24" i="3" s="1"/>
  <c r="AO100" i="2"/>
  <c r="AB100" i="2"/>
  <c r="O100" i="2"/>
  <c r="CB99" i="2"/>
  <c r="BO99" i="2"/>
  <c r="BB99" i="2"/>
  <c r="G23" i="3" s="1"/>
  <c r="AO99" i="2"/>
  <c r="AB99" i="2"/>
  <c r="O99" i="2"/>
  <c r="CB98" i="2"/>
  <c r="BO98" i="2"/>
  <c r="BB98" i="2"/>
  <c r="AO98" i="2"/>
  <c r="AB98" i="2"/>
  <c r="O98" i="2"/>
  <c r="O104" i="2" s="1"/>
  <c r="CA92" i="2"/>
  <c r="BZ92" i="2"/>
  <c r="BY92" i="2"/>
  <c r="BX92" i="2"/>
  <c r="BW92" i="2"/>
  <c r="BV92" i="2"/>
  <c r="BU92" i="2"/>
  <c r="BT92" i="2"/>
  <c r="BS92" i="2"/>
  <c r="BR92" i="2"/>
  <c r="BQ92" i="2"/>
  <c r="BP92" i="2"/>
  <c r="BN92" i="2"/>
  <c r="BM92" i="2"/>
  <c r="BL92" i="2"/>
  <c r="BK92" i="2"/>
  <c r="BJ92" i="2"/>
  <c r="BI92" i="2"/>
  <c r="BH92" i="2"/>
  <c r="BG92" i="2"/>
  <c r="BF92" i="2"/>
  <c r="BE92" i="2"/>
  <c r="BD92" i="2"/>
  <c r="BC92" i="2"/>
  <c r="BA92" i="2"/>
  <c r="AZ92" i="2"/>
  <c r="AY92" i="2"/>
  <c r="AX92" i="2"/>
  <c r="AW92" i="2"/>
  <c r="AV92" i="2"/>
  <c r="AU92" i="2"/>
  <c r="AT92" i="2"/>
  <c r="AS92" i="2"/>
  <c r="AR92" i="2"/>
  <c r="AQ92" i="2"/>
  <c r="AP92" i="2"/>
  <c r="AN92" i="2"/>
  <c r="AM92" i="2"/>
  <c r="AL92" i="2"/>
  <c r="AK92" i="2"/>
  <c r="AJ92" i="2"/>
  <c r="AI92" i="2"/>
  <c r="AH92" i="2"/>
  <c r="AG92" i="2"/>
  <c r="AF92" i="2"/>
  <c r="AE92" i="2"/>
  <c r="AD92" i="2"/>
  <c r="AC92" i="2"/>
  <c r="AA92" i="2"/>
  <c r="Z92" i="2"/>
  <c r="Y92" i="2"/>
  <c r="X92" i="2"/>
  <c r="W92" i="2"/>
  <c r="V92" i="2"/>
  <c r="U92" i="2"/>
  <c r="T92" i="2"/>
  <c r="S92" i="2"/>
  <c r="R92" i="2"/>
  <c r="Q92" i="2"/>
  <c r="P92" i="2"/>
  <c r="N92" i="2"/>
  <c r="M92" i="2"/>
  <c r="L92" i="2"/>
  <c r="K92" i="2"/>
  <c r="J92" i="2"/>
  <c r="I92" i="2"/>
  <c r="H92" i="2"/>
  <c r="G92" i="2"/>
  <c r="F92" i="2"/>
  <c r="E92" i="2"/>
  <c r="D92" i="2"/>
  <c r="C92" i="2"/>
  <c r="CB91" i="2"/>
  <c r="BO91" i="2"/>
  <c r="BB91" i="2"/>
  <c r="AO91" i="2"/>
  <c r="AB91" i="2"/>
  <c r="O91" i="2"/>
  <c r="CB90" i="2"/>
  <c r="BO90" i="2"/>
  <c r="BB90" i="2"/>
  <c r="AO90" i="2"/>
  <c r="AB90" i="2"/>
  <c r="O90" i="2"/>
  <c r="CB89" i="2"/>
  <c r="BO89" i="2"/>
  <c r="BB89" i="2"/>
  <c r="AO89" i="2"/>
  <c r="AB89" i="2"/>
  <c r="O89" i="2"/>
  <c r="CB88" i="2"/>
  <c r="BO88" i="2"/>
  <c r="BB88" i="2"/>
  <c r="AO88" i="2"/>
  <c r="AB88" i="2"/>
  <c r="O88" i="2"/>
  <c r="CB87" i="2"/>
  <c r="BO87" i="2"/>
  <c r="BB87" i="2"/>
  <c r="AO87" i="2"/>
  <c r="AB87" i="2"/>
  <c r="O87" i="2"/>
  <c r="CB86" i="2"/>
  <c r="BO86" i="2"/>
  <c r="BB86" i="2"/>
  <c r="AO86" i="2"/>
  <c r="AB86" i="2"/>
  <c r="O86" i="2"/>
  <c r="O92" i="2" s="1"/>
  <c r="CA77" i="2"/>
  <c r="BZ77" i="2"/>
  <c r="BY77" i="2"/>
  <c r="BX77" i="2"/>
  <c r="BW77" i="2"/>
  <c r="BV77" i="2"/>
  <c r="BU77" i="2"/>
  <c r="BT77" i="2"/>
  <c r="BS77" i="2"/>
  <c r="BR77" i="2"/>
  <c r="BQ77" i="2"/>
  <c r="BP77" i="2"/>
  <c r="BN77" i="2"/>
  <c r="BM77" i="2"/>
  <c r="BL77" i="2"/>
  <c r="BK77" i="2"/>
  <c r="BJ77" i="2"/>
  <c r="BI77" i="2"/>
  <c r="BH77" i="2"/>
  <c r="BG77" i="2"/>
  <c r="BF77" i="2"/>
  <c r="BE77" i="2"/>
  <c r="BD77" i="2"/>
  <c r="BC77" i="2"/>
  <c r="BA77" i="2"/>
  <c r="AZ77" i="2"/>
  <c r="AY77" i="2"/>
  <c r="AX77" i="2"/>
  <c r="AW77" i="2"/>
  <c r="AV77" i="2"/>
  <c r="AU77" i="2"/>
  <c r="AT77" i="2"/>
  <c r="AS77" i="2"/>
  <c r="AR77" i="2"/>
  <c r="AQ77" i="2"/>
  <c r="AP77" i="2"/>
  <c r="AN77" i="2"/>
  <c r="AM77" i="2"/>
  <c r="AL77" i="2"/>
  <c r="AK77" i="2"/>
  <c r="AJ77" i="2"/>
  <c r="AI77" i="2"/>
  <c r="AH77" i="2"/>
  <c r="AG77" i="2"/>
  <c r="AF77" i="2"/>
  <c r="AE77" i="2"/>
  <c r="AD77" i="2"/>
  <c r="AC77" i="2"/>
  <c r="AA77" i="2"/>
  <c r="Z77" i="2"/>
  <c r="Y77" i="2"/>
  <c r="X77" i="2"/>
  <c r="W77" i="2"/>
  <c r="V77" i="2"/>
  <c r="U77" i="2"/>
  <c r="T77" i="2"/>
  <c r="S77" i="2"/>
  <c r="R77" i="2"/>
  <c r="Q77" i="2"/>
  <c r="P77" i="2"/>
  <c r="N77" i="2"/>
  <c r="M77" i="2"/>
  <c r="L77" i="2"/>
  <c r="K77" i="2"/>
  <c r="J77" i="2"/>
  <c r="I77" i="2"/>
  <c r="H77" i="2"/>
  <c r="G77" i="2"/>
  <c r="F77" i="2"/>
  <c r="E77" i="2"/>
  <c r="D77" i="2"/>
  <c r="C77" i="2"/>
  <c r="CB76" i="2"/>
  <c r="BO76" i="2"/>
  <c r="BB76" i="2"/>
  <c r="F27" i="3" s="1"/>
  <c r="AO76" i="2"/>
  <c r="AB76" i="2"/>
  <c r="O76" i="2"/>
  <c r="CB75" i="2"/>
  <c r="BO75" i="2"/>
  <c r="BB75" i="2"/>
  <c r="F26" i="3" s="1"/>
  <c r="AO75" i="2"/>
  <c r="AB75" i="2"/>
  <c r="O75" i="2"/>
  <c r="CB74" i="2"/>
  <c r="BO74" i="2"/>
  <c r="BB74" i="2"/>
  <c r="F25" i="3" s="1"/>
  <c r="AO74" i="2"/>
  <c r="AB74" i="2"/>
  <c r="O74" i="2"/>
  <c r="CB73" i="2"/>
  <c r="BO73" i="2"/>
  <c r="BB73" i="2"/>
  <c r="F24" i="3" s="1"/>
  <c r="AO73" i="2"/>
  <c r="AB73" i="2"/>
  <c r="O73" i="2"/>
  <c r="CB72" i="2"/>
  <c r="BO72" i="2"/>
  <c r="BB72" i="2"/>
  <c r="F23" i="3" s="1"/>
  <c r="AO72" i="2"/>
  <c r="AB72" i="2"/>
  <c r="O72" i="2"/>
  <c r="CB71" i="2"/>
  <c r="BO71" i="2"/>
  <c r="BB71" i="2"/>
  <c r="AO71" i="2"/>
  <c r="AB71" i="2"/>
  <c r="O71" i="2"/>
  <c r="O77" i="2" s="1"/>
  <c r="CA65" i="2"/>
  <c r="BZ65" i="2"/>
  <c r="BY65" i="2"/>
  <c r="BX65" i="2"/>
  <c r="BW65" i="2"/>
  <c r="BV65" i="2"/>
  <c r="BU65" i="2"/>
  <c r="BT65" i="2"/>
  <c r="BS65" i="2"/>
  <c r="BR65" i="2"/>
  <c r="BQ65" i="2"/>
  <c r="BP65" i="2"/>
  <c r="BN65" i="2"/>
  <c r="BM65" i="2"/>
  <c r="BL65" i="2"/>
  <c r="BK65" i="2"/>
  <c r="BJ65" i="2"/>
  <c r="BI65" i="2"/>
  <c r="BH65" i="2"/>
  <c r="BG65" i="2"/>
  <c r="BF65" i="2"/>
  <c r="BE65" i="2"/>
  <c r="BD65" i="2"/>
  <c r="BC65" i="2"/>
  <c r="BA65" i="2"/>
  <c r="AZ65" i="2"/>
  <c r="AY65" i="2"/>
  <c r="AX65" i="2"/>
  <c r="AW65" i="2"/>
  <c r="AV65" i="2"/>
  <c r="AU65" i="2"/>
  <c r="AT65" i="2"/>
  <c r="AS65" i="2"/>
  <c r="AR65" i="2"/>
  <c r="AQ65" i="2"/>
  <c r="AP65" i="2"/>
  <c r="AN65" i="2"/>
  <c r="AM65" i="2"/>
  <c r="AL65" i="2"/>
  <c r="AK65" i="2"/>
  <c r="AJ65" i="2"/>
  <c r="AI65" i="2"/>
  <c r="AH65" i="2"/>
  <c r="AG65" i="2"/>
  <c r="AF65" i="2"/>
  <c r="AE65" i="2"/>
  <c r="AD65" i="2"/>
  <c r="AC65" i="2"/>
  <c r="AA65" i="2"/>
  <c r="Z65" i="2"/>
  <c r="Y65" i="2"/>
  <c r="X65" i="2"/>
  <c r="W65" i="2"/>
  <c r="V65" i="2"/>
  <c r="U65" i="2"/>
  <c r="T65" i="2"/>
  <c r="S65" i="2"/>
  <c r="R65" i="2"/>
  <c r="Q65" i="2"/>
  <c r="P65" i="2"/>
  <c r="N65" i="2"/>
  <c r="M65" i="2"/>
  <c r="L65" i="2"/>
  <c r="K65" i="2"/>
  <c r="J65" i="2"/>
  <c r="I65" i="2"/>
  <c r="H65" i="2"/>
  <c r="G65" i="2"/>
  <c r="F65" i="2"/>
  <c r="E65" i="2"/>
  <c r="D65" i="2"/>
  <c r="C65" i="2"/>
  <c r="CB64" i="2"/>
  <c r="BO64" i="2"/>
  <c r="BB64" i="2"/>
  <c r="E27" i="3" s="1"/>
  <c r="AO64" i="2"/>
  <c r="AB64" i="2"/>
  <c r="O64" i="2"/>
  <c r="CB63" i="2"/>
  <c r="BO63" i="2"/>
  <c r="BB63" i="2"/>
  <c r="E26" i="3" s="1"/>
  <c r="AO63" i="2"/>
  <c r="AB63" i="2"/>
  <c r="O63" i="2"/>
  <c r="CB62" i="2"/>
  <c r="BO62" i="2"/>
  <c r="BB62" i="2"/>
  <c r="E25" i="3" s="1"/>
  <c r="AO62" i="2"/>
  <c r="AB62" i="2"/>
  <c r="O62" i="2"/>
  <c r="CB61" i="2"/>
  <c r="BO61" i="2"/>
  <c r="BB61" i="2"/>
  <c r="E24" i="3" s="1"/>
  <c r="AO61" i="2"/>
  <c r="AB61" i="2"/>
  <c r="O61" i="2"/>
  <c r="CB60" i="2"/>
  <c r="BO60" i="2"/>
  <c r="BB60" i="2"/>
  <c r="E23" i="3" s="1"/>
  <c r="AO60" i="2"/>
  <c r="AB60" i="2"/>
  <c r="O60" i="2"/>
  <c r="CB59" i="2"/>
  <c r="BO59" i="2"/>
  <c r="BB59" i="2"/>
  <c r="AO59" i="2"/>
  <c r="AB59" i="2"/>
  <c r="O59" i="2"/>
  <c r="O65" i="2" s="1"/>
  <c r="CA53" i="2"/>
  <c r="BZ53" i="2"/>
  <c r="BY53" i="2"/>
  <c r="BX53" i="2"/>
  <c r="BW53" i="2"/>
  <c r="BV53" i="2"/>
  <c r="BU53" i="2"/>
  <c r="BT53" i="2"/>
  <c r="BS53" i="2"/>
  <c r="BR53" i="2"/>
  <c r="BQ53" i="2"/>
  <c r="BP53" i="2"/>
  <c r="BN53" i="2"/>
  <c r="BM53" i="2"/>
  <c r="BL53" i="2"/>
  <c r="BK53" i="2"/>
  <c r="BJ53" i="2"/>
  <c r="BI53" i="2"/>
  <c r="BH53" i="2"/>
  <c r="BG53" i="2"/>
  <c r="BF53" i="2"/>
  <c r="BE53" i="2"/>
  <c r="BD53" i="2"/>
  <c r="BC53" i="2"/>
  <c r="BA53" i="2"/>
  <c r="AZ53" i="2"/>
  <c r="AY53" i="2"/>
  <c r="AX53" i="2"/>
  <c r="AW53" i="2"/>
  <c r="AV53" i="2"/>
  <c r="AU53" i="2"/>
  <c r="AT53" i="2"/>
  <c r="AS53" i="2"/>
  <c r="AR53" i="2"/>
  <c r="AQ53" i="2"/>
  <c r="AP53" i="2"/>
  <c r="AN53" i="2"/>
  <c r="AM53" i="2"/>
  <c r="AL53" i="2"/>
  <c r="AK53" i="2"/>
  <c r="AJ53" i="2"/>
  <c r="AI53" i="2"/>
  <c r="AH53" i="2"/>
  <c r="AG53" i="2"/>
  <c r="AF53" i="2"/>
  <c r="AE53" i="2"/>
  <c r="AD53" i="2"/>
  <c r="AC53" i="2"/>
  <c r="AA53" i="2"/>
  <c r="Z53" i="2"/>
  <c r="Y53" i="2"/>
  <c r="X53" i="2"/>
  <c r="W53" i="2"/>
  <c r="V53" i="2"/>
  <c r="U53" i="2"/>
  <c r="T53" i="2"/>
  <c r="S53" i="2"/>
  <c r="R53" i="2"/>
  <c r="Q53" i="2"/>
  <c r="P53" i="2"/>
  <c r="N53" i="2"/>
  <c r="M53" i="2"/>
  <c r="L53" i="2"/>
  <c r="K53" i="2"/>
  <c r="J53" i="2"/>
  <c r="I53" i="2"/>
  <c r="H53" i="2"/>
  <c r="G53" i="2"/>
  <c r="F53" i="2"/>
  <c r="E53" i="2"/>
  <c r="D53" i="2"/>
  <c r="C53" i="2"/>
  <c r="CB52" i="2"/>
  <c r="BO52" i="2"/>
  <c r="BB52" i="2"/>
  <c r="AO52" i="2"/>
  <c r="AB52" i="2"/>
  <c r="O52" i="2"/>
  <c r="CB51" i="2"/>
  <c r="BO51" i="2"/>
  <c r="BB51" i="2"/>
  <c r="AO51" i="2"/>
  <c r="AB51" i="2"/>
  <c r="O51" i="2"/>
  <c r="CB50" i="2"/>
  <c r="BO50" i="2"/>
  <c r="BB50" i="2"/>
  <c r="AO50" i="2"/>
  <c r="AB50" i="2"/>
  <c r="O50" i="2"/>
  <c r="CB49" i="2"/>
  <c r="BO49" i="2"/>
  <c r="BB49" i="2"/>
  <c r="AO49" i="2"/>
  <c r="AB49" i="2"/>
  <c r="O49" i="2"/>
  <c r="CB48" i="2"/>
  <c r="BO48" i="2"/>
  <c r="BB48" i="2"/>
  <c r="AO48" i="2"/>
  <c r="AB48" i="2"/>
  <c r="O48" i="2"/>
  <c r="CB47" i="2"/>
  <c r="BO47" i="2"/>
  <c r="BB47" i="2"/>
  <c r="AO47" i="2"/>
  <c r="AB47" i="2"/>
  <c r="O47" i="2"/>
  <c r="O53" i="2" s="1"/>
  <c r="CA38" i="2"/>
  <c r="BZ38" i="2"/>
  <c r="BY38" i="2"/>
  <c r="BX38" i="2"/>
  <c r="BW38" i="2"/>
  <c r="BV38" i="2"/>
  <c r="BU38" i="2"/>
  <c r="BT38" i="2"/>
  <c r="BS38" i="2"/>
  <c r="BR38" i="2"/>
  <c r="BQ38" i="2"/>
  <c r="BP38" i="2"/>
  <c r="BN38" i="2"/>
  <c r="BM38" i="2"/>
  <c r="BL38" i="2"/>
  <c r="BK38" i="2"/>
  <c r="BJ38" i="2"/>
  <c r="BI38" i="2"/>
  <c r="BH38" i="2"/>
  <c r="BG38" i="2"/>
  <c r="BF38" i="2"/>
  <c r="BE38" i="2"/>
  <c r="BD38" i="2"/>
  <c r="BC38" i="2"/>
  <c r="BA38" i="2"/>
  <c r="AZ38" i="2"/>
  <c r="AY38" i="2"/>
  <c r="AX38" i="2"/>
  <c r="K35" i="3" s="1"/>
  <c r="AW38" i="2"/>
  <c r="J35" i="3" s="1"/>
  <c r="AV38" i="2"/>
  <c r="AU38" i="2"/>
  <c r="AT38" i="2"/>
  <c r="AS38" i="2"/>
  <c r="F35" i="3" s="1"/>
  <c r="AR38" i="2"/>
  <c r="AQ38" i="2"/>
  <c r="AP38" i="2"/>
  <c r="AN38" i="2"/>
  <c r="AM38" i="2"/>
  <c r="AL38" i="2"/>
  <c r="AK38" i="2"/>
  <c r="AJ38" i="2"/>
  <c r="AI38" i="2"/>
  <c r="AH38" i="2"/>
  <c r="AG38" i="2"/>
  <c r="AF38" i="2"/>
  <c r="AE38" i="2"/>
  <c r="AD38" i="2"/>
  <c r="AC38" i="2"/>
  <c r="AA38" i="2"/>
  <c r="Z38" i="2"/>
  <c r="Y38" i="2"/>
  <c r="X38" i="2"/>
  <c r="W38" i="2"/>
  <c r="V38" i="2"/>
  <c r="U38" i="2"/>
  <c r="T38" i="2"/>
  <c r="S38" i="2"/>
  <c r="R38" i="2"/>
  <c r="Q38" i="2"/>
  <c r="P38" i="2"/>
  <c r="N38" i="2"/>
  <c r="M38" i="2"/>
  <c r="L38" i="2"/>
  <c r="K38" i="2"/>
  <c r="J38" i="2"/>
  <c r="I38" i="2"/>
  <c r="I35" i="3" s="1"/>
  <c r="H38" i="2"/>
  <c r="H35" i="3" s="1"/>
  <c r="G38" i="2"/>
  <c r="G35" i="3" s="1"/>
  <c r="F38" i="2"/>
  <c r="E38" i="2"/>
  <c r="D38" i="2"/>
  <c r="C38" i="2"/>
  <c r="CB37" i="2"/>
  <c r="BO37" i="2"/>
  <c r="BB37" i="2"/>
  <c r="D27" i="3" s="1"/>
  <c r="AO37" i="2"/>
  <c r="AB37" i="2"/>
  <c r="O37" i="2"/>
  <c r="CB36" i="2"/>
  <c r="BO36" i="2"/>
  <c r="BB36" i="2"/>
  <c r="D26" i="3" s="1"/>
  <c r="J26" i="3" s="1"/>
  <c r="AO36" i="2"/>
  <c r="AB36" i="2"/>
  <c r="O36" i="2"/>
  <c r="CB35" i="2"/>
  <c r="BO35" i="2"/>
  <c r="BB35" i="2"/>
  <c r="D25" i="3" s="1"/>
  <c r="AO35" i="2"/>
  <c r="AB35" i="2"/>
  <c r="O35" i="2"/>
  <c r="CB34" i="2"/>
  <c r="BO34" i="2"/>
  <c r="BB34" i="2"/>
  <c r="D24" i="3" s="1"/>
  <c r="AO34" i="2"/>
  <c r="AB34" i="2"/>
  <c r="O34" i="2"/>
  <c r="CB33" i="2"/>
  <c r="BO33" i="2"/>
  <c r="BB33" i="2"/>
  <c r="D23" i="3" s="1"/>
  <c r="AO33" i="2"/>
  <c r="AB33" i="2"/>
  <c r="O33" i="2"/>
  <c r="CB32" i="2"/>
  <c r="BO32" i="2"/>
  <c r="BB32" i="2"/>
  <c r="AO32" i="2"/>
  <c r="AB32" i="2"/>
  <c r="O32" i="2"/>
  <c r="O38" i="2" s="1"/>
  <c r="CA26" i="2"/>
  <c r="BZ26" i="2"/>
  <c r="BY26" i="2"/>
  <c r="BX26" i="2"/>
  <c r="BW26" i="2"/>
  <c r="BV26" i="2"/>
  <c r="BU26" i="2"/>
  <c r="BT26" i="2"/>
  <c r="BS26" i="2"/>
  <c r="BR26" i="2"/>
  <c r="BQ26" i="2"/>
  <c r="BP26" i="2"/>
  <c r="BN26" i="2"/>
  <c r="BM26" i="2"/>
  <c r="BL26" i="2"/>
  <c r="BK26" i="2"/>
  <c r="BJ26" i="2"/>
  <c r="BI26" i="2"/>
  <c r="BH26" i="2"/>
  <c r="BG26" i="2"/>
  <c r="BF26" i="2"/>
  <c r="BE26" i="2"/>
  <c r="BD26" i="2"/>
  <c r="BC26" i="2"/>
  <c r="BA26" i="2"/>
  <c r="AZ26" i="2"/>
  <c r="M34" i="3" s="1"/>
  <c r="AY26" i="2"/>
  <c r="L34" i="3" s="1"/>
  <c r="AX26" i="2"/>
  <c r="K34" i="3" s="1"/>
  <c r="AW26" i="2"/>
  <c r="J34" i="3" s="1"/>
  <c r="AV26" i="2"/>
  <c r="AU26" i="2"/>
  <c r="AT26" i="2"/>
  <c r="AS26" i="2"/>
  <c r="F34" i="3" s="1"/>
  <c r="F36" i="3" s="1"/>
  <c r="AR26" i="2"/>
  <c r="AQ26" i="2"/>
  <c r="AP26" i="2"/>
  <c r="AN26" i="2"/>
  <c r="AM26" i="2"/>
  <c r="AL26" i="2"/>
  <c r="AK26" i="2"/>
  <c r="AJ26" i="2"/>
  <c r="AI26" i="2"/>
  <c r="AH26" i="2"/>
  <c r="AG26" i="2"/>
  <c r="AF26" i="2"/>
  <c r="AE26" i="2"/>
  <c r="AD26" i="2"/>
  <c r="AC26" i="2"/>
  <c r="AA26" i="2"/>
  <c r="Z26" i="2"/>
  <c r="Y26" i="2"/>
  <c r="X26" i="2"/>
  <c r="W26" i="2"/>
  <c r="V26" i="2"/>
  <c r="CB25" i="2"/>
  <c r="BO25" i="2"/>
  <c r="BB25" i="2"/>
  <c r="C27" i="3" s="1"/>
  <c r="AO25" i="2"/>
  <c r="AB25" i="2"/>
  <c r="U25" i="2"/>
  <c r="U26" i="2" s="1"/>
  <c r="T25" i="2"/>
  <c r="T26" i="2" s="1"/>
  <c r="S25" i="2"/>
  <c r="S26" i="2" s="1"/>
  <c r="R25" i="2"/>
  <c r="R26" i="2" s="1"/>
  <c r="Q25" i="2"/>
  <c r="Q26" i="2" s="1"/>
  <c r="P25" i="2"/>
  <c r="P26" i="2" s="1"/>
  <c r="N25" i="2"/>
  <c r="O25" i="2" s="1"/>
  <c r="M25" i="2"/>
  <c r="M26" i="2" s="1"/>
  <c r="L25" i="2"/>
  <c r="L26" i="2" s="1"/>
  <c r="K25" i="2"/>
  <c r="K26" i="2" s="1"/>
  <c r="J25" i="2"/>
  <c r="J26" i="2" s="1"/>
  <c r="I25" i="2"/>
  <c r="I26" i="2" s="1"/>
  <c r="I34" i="3" s="1"/>
  <c r="H25" i="2"/>
  <c r="H26" i="2" s="1"/>
  <c r="H34" i="3" s="1"/>
  <c r="H36" i="3" s="1"/>
  <c r="G25" i="2"/>
  <c r="G26" i="2" s="1"/>
  <c r="F25" i="2"/>
  <c r="F26" i="2" s="1"/>
  <c r="E25" i="2"/>
  <c r="E26" i="2" s="1"/>
  <c r="D25" i="2"/>
  <c r="D26" i="2" s="1"/>
  <c r="C25" i="2"/>
  <c r="C26" i="2" s="1"/>
  <c r="CB24" i="2"/>
  <c r="BO24" i="2"/>
  <c r="BB24" i="2"/>
  <c r="AO24" i="2"/>
  <c r="AB24" i="2"/>
  <c r="N24" i="2"/>
  <c r="O24" i="2" s="1"/>
  <c r="CB23" i="2"/>
  <c r="BO23" i="2"/>
  <c r="BB23" i="2"/>
  <c r="AO23" i="2"/>
  <c r="AB23" i="2"/>
  <c r="N23" i="2"/>
  <c r="O23" i="2" s="1"/>
  <c r="CB22" i="2"/>
  <c r="BO22" i="2"/>
  <c r="BB22" i="2"/>
  <c r="AO22" i="2"/>
  <c r="AB22" i="2"/>
  <c r="N22" i="2"/>
  <c r="O22" i="2" s="1"/>
  <c r="C24" i="3" s="1"/>
  <c r="CB21" i="2"/>
  <c r="BO21" i="2"/>
  <c r="BB21" i="2"/>
  <c r="AO21" i="2"/>
  <c r="AB21" i="2"/>
  <c r="N21" i="2"/>
  <c r="O21" i="2" s="1"/>
  <c r="CB20" i="2"/>
  <c r="BO20" i="2"/>
  <c r="BB20" i="2"/>
  <c r="AO20" i="2"/>
  <c r="AB20" i="2"/>
  <c r="N20" i="2"/>
  <c r="O20" i="2" s="1"/>
  <c r="C22" i="3" s="1"/>
  <c r="CA14" i="2"/>
  <c r="BZ14" i="2"/>
  <c r="BY14" i="2"/>
  <c r="BX14" i="2"/>
  <c r="BW14" i="2"/>
  <c r="BV14" i="2"/>
  <c r="BU14" i="2"/>
  <c r="BT14" i="2"/>
  <c r="BS14" i="2"/>
  <c r="BR14" i="2"/>
  <c r="BQ14" i="2"/>
  <c r="BP14" i="2"/>
  <c r="BN14" i="2"/>
  <c r="BM14" i="2"/>
  <c r="BL14" i="2"/>
  <c r="BK14" i="2"/>
  <c r="BJ14" i="2"/>
  <c r="BI14" i="2"/>
  <c r="BH14" i="2"/>
  <c r="BG14" i="2"/>
  <c r="BF14" i="2"/>
  <c r="BE14" i="2"/>
  <c r="BD14" i="2"/>
  <c r="BC14" i="2"/>
  <c r="BA14" i="2"/>
  <c r="AZ14" i="2"/>
  <c r="AY14" i="2"/>
  <c r="AX14" i="2"/>
  <c r="AW14" i="2"/>
  <c r="AV14" i="2"/>
  <c r="AU14" i="2"/>
  <c r="AT14" i="2"/>
  <c r="AS14" i="2"/>
  <c r="AR14" i="2"/>
  <c r="AQ14" i="2"/>
  <c r="AP14" i="2"/>
  <c r="AN14" i="2"/>
  <c r="AM14" i="2"/>
  <c r="AL14" i="2"/>
  <c r="AK14" i="2"/>
  <c r="AJ14" i="2"/>
  <c r="AI14" i="2"/>
  <c r="AH14" i="2"/>
  <c r="AG14" i="2"/>
  <c r="AF14" i="2"/>
  <c r="AE14" i="2"/>
  <c r="AD14" i="2"/>
  <c r="AC14" i="2"/>
  <c r="CB13" i="2"/>
  <c r="BO13" i="2"/>
  <c r="BB13" i="2"/>
  <c r="AO13" i="2"/>
  <c r="AA13" i="2"/>
  <c r="AB13" i="2" s="1"/>
  <c r="Z13" i="2"/>
  <c r="Z161" i="2" s="1"/>
  <c r="Y13" i="2"/>
  <c r="Y161" i="2" s="1"/>
  <c r="X13" i="2"/>
  <c r="X161" i="2" s="1"/>
  <c r="W13" i="2"/>
  <c r="W161" i="2" s="1"/>
  <c r="V13" i="2"/>
  <c r="V161" i="2" s="1"/>
  <c r="U13" i="2"/>
  <c r="U161" i="2" s="1"/>
  <c r="T13" i="2"/>
  <c r="T161" i="2" s="1"/>
  <c r="S13" i="2"/>
  <c r="S161" i="2" s="1"/>
  <c r="R13" i="2"/>
  <c r="R161" i="2" s="1"/>
  <c r="Q13" i="2"/>
  <c r="Q161" i="2" s="1"/>
  <c r="P13" i="2"/>
  <c r="P161" i="2" s="1"/>
  <c r="N13" i="2"/>
  <c r="O13" i="2" s="1"/>
  <c r="O161" i="2" s="1"/>
  <c r="M13" i="2"/>
  <c r="M161" i="2" s="1"/>
  <c r="L13" i="2"/>
  <c r="L161" i="2" s="1"/>
  <c r="K13" i="2"/>
  <c r="K161" i="2" s="1"/>
  <c r="J13" i="2"/>
  <c r="J161" i="2" s="1"/>
  <c r="I13" i="2"/>
  <c r="I161" i="2" s="1"/>
  <c r="H13" i="2"/>
  <c r="H161" i="2" s="1"/>
  <c r="G13" i="2"/>
  <c r="G161" i="2" s="1"/>
  <c r="F13" i="2"/>
  <c r="F161" i="2" s="1"/>
  <c r="E13" i="2"/>
  <c r="E161" i="2" s="1"/>
  <c r="D13" i="2"/>
  <c r="D161" i="2" s="1"/>
  <c r="C13" i="2"/>
  <c r="C161" i="2" s="1"/>
  <c r="CB12" i="2"/>
  <c r="CB160" i="2" s="1"/>
  <c r="BO12" i="2"/>
  <c r="BO160" i="2" s="1"/>
  <c r="BB12" i="2"/>
  <c r="AO12" i="2"/>
  <c r="AO160" i="2" s="1"/>
  <c r="AA12" i="2"/>
  <c r="AA160" i="2" s="1"/>
  <c r="Z12" i="2"/>
  <c r="Z160" i="2" s="1"/>
  <c r="Y12" i="2"/>
  <c r="Y160" i="2" s="1"/>
  <c r="X12" i="2"/>
  <c r="X160" i="2" s="1"/>
  <c r="W12" i="2"/>
  <c r="W160" i="2" s="1"/>
  <c r="V12" i="2"/>
  <c r="V160" i="2" s="1"/>
  <c r="U12" i="2"/>
  <c r="U160" i="2" s="1"/>
  <c r="T12" i="2"/>
  <c r="T160" i="2" s="1"/>
  <c r="S12" i="2"/>
  <c r="S160" i="2" s="1"/>
  <c r="R12" i="2"/>
  <c r="R160" i="2" s="1"/>
  <c r="Q12" i="2"/>
  <c r="Q160" i="2" s="1"/>
  <c r="P12" i="2"/>
  <c r="P160" i="2" s="1"/>
  <c r="N12" i="2"/>
  <c r="N160" i="2" s="1"/>
  <c r="M12" i="2"/>
  <c r="M160" i="2" s="1"/>
  <c r="L12" i="2"/>
  <c r="L160" i="2" s="1"/>
  <c r="K12" i="2"/>
  <c r="K160" i="2" s="1"/>
  <c r="J12" i="2"/>
  <c r="J160" i="2" s="1"/>
  <c r="I12" i="2"/>
  <c r="I160" i="2" s="1"/>
  <c r="H12" i="2"/>
  <c r="H160" i="2" s="1"/>
  <c r="G12" i="2"/>
  <c r="G160" i="2" s="1"/>
  <c r="F12" i="2"/>
  <c r="F160" i="2" s="1"/>
  <c r="E12" i="2"/>
  <c r="E160" i="2" s="1"/>
  <c r="D12" i="2"/>
  <c r="D160" i="2" s="1"/>
  <c r="C12" i="2"/>
  <c r="C160" i="2" s="1"/>
  <c r="CB11" i="2"/>
  <c r="BO11" i="2"/>
  <c r="BB11" i="2"/>
  <c r="BB159" i="2" s="1"/>
  <c r="AO11" i="2"/>
  <c r="AA11" i="2"/>
  <c r="AB11" i="2" s="1"/>
  <c r="Z11" i="2"/>
  <c r="Z159" i="2" s="1"/>
  <c r="Y11" i="2"/>
  <c r="Y159" i="2" s="1"/>
  <c r="X11" i="2"/>
  <c r="X159" i="2" s="1"/>
  <c r="W11" i="2"/>
  <c r="W159" i="2" s="1"/>
  <c r="V11" i="2"/>
  <c r="V159" i="2" s="1"/>
  <c r="U11" i="2"/>
  <c r="U159" i="2" s="1"/>
  <c r="T11" i="2"/>
  <c r="T159" i="2" s="1"/>
  <c r="S11" i="2"/>
  <c r="S159" i="2" s="1"/>
  <c r="R11" i="2"/>
  <c r="R159" i="2" s="1"/>
  <c r="Q11" i="2"/>
  <c r="Q159" i="2" s="1"/>
  <c r="P11" i="2"/>
  <c r="P159" i="2" s="1"/>
  <c r="N11" i="2"/>
  <c r="O11" i="2" s="1"/>
  <c r="O159" i="2" s="1"/>
  <c r="M11" i="2"/>
  <c r="M159" i="2" s="1"/>
  <c r="L11" i="2"/>
  <c r="L159" i="2" s="1"/>
  <c r="K11" i="2"/>
  <c r="K159" i="2" s="1"/>
  <c r="J11" i="2"/>
  <c r="J159" i="2" s="1"/>
  <c r="I11" i="2"/>
  <c r="I159" i="2" s="1"/>
  <c r="H11" i="2"/>
  <c r="H159" i="2" s="1"/>
  <c r="G11" i="2"/>
  <c r="G159" i="2" s="1"/>
  <c r="F11" i="2"/>
  <c r="F159" i="2" s="1"/>
  <c r="E11" i="2"/>
  <c r="E159" i="2" s="1"/>
  <c r="D11" i="2"/>
  <c r="D159" i="2" s="1"/>
  <c r="C11" i="2"/>
  <c r="C159" i="2" s="1"/>
  <c r="CB10" i="2"/>
  <c r="CB158" i="2" s="1"/>
  <c r="BO10" i="2"/>
  <c r="BO158" i="2" s="1"/>
  <c r="BB10" i="2"/>
  <c r="AO10" i="2"/>
  <c r="AA10" i="2"/>
  <c r="AA158" i="2" s="1"/>
  <c r="Z10" i="2"/>
  <c r="Z158" i="2" s="1"/>
  <c r="Y10" i="2"/>
  <c r="Y158" i="2" s="1"/>
  <c r="X10" i="2"/>
  <c r="X158" i="2" s="1"/>
  <c r="W10" i="2"/>
  <c r="W158" i="2" s="1"/>
  <c r="V10" i="2"/>
  <c r="V158" i="2" s="1"/>
  <c r="U10" i="2"/>
  <c r="U158" i="2" s="1"/>
  <c r="T10" i="2"/>
  <c r="T158" i="2" s="1"/>
  <c r="S10" i="2"/>
  <c r="S158" i="2" s="1"/>
  <c r="R10" i="2"/>
  <c r="R158" i="2" s="1"/>
  <c r="Q10" i="2"/>
  <c r="Q158" i="2" s="1"/>
  <c r="P10" i="2"/>
  <c r="P158" i="2" s="1"/>
  <c r="N10" i="2"/>
  <c r="N158" i="2" s="1"/>
  <c r="M10" i="2"/>
  <c r="M158" i="2" s="1"/>
  <c r="L10" i="2"/>
  <c r="L158" i="2" s="1"/>
  <c r="K10" i="2"/>
  <c r="K158" i="2" s="1"/>
  <c r="J10" i="2"/>
  <c r="J158" i="2" s="1"/>
  <c r="I10" i="2"/>
  <c r="I158" i="2" s="1"/>
  <c r="H10" i="2"/>
  <c r="H158" i="2" s="1"/>
  <c r="G10" i="2"/>
  <c r="G158" i="2" s="1"/>
  <c r="F10" i="2"/>
  <c r="F158" i="2" s="1"/>
  <c r="E10" i="2"/>
  <c r="E158" i="2" s="1"/>
  <c r="D10" i="2"/>
  <c r="D158" i="2" s="1"/>
  <c r="C10" i="2"/>
  <c r="C158" i="2" s="1"/>
  <c r="CB9" i="2"/>
  <c r="BO9" i="2"/>
  <c r="BB9" i="2"/>
  <c r="AO9" i="2"/>
  <c r="AA9" i="2"/>
  <c r="AB9" i="2" s="1"/>
  <c r="Z9" i="2"/>
  <c r="Z157" i="2" s="1"/>
  <c r="Y9" i="2"/>
  <c r="Y157" i="2" s="1"/>
  <c r="X9" i="2"/>
  <c r="X157" i="2" s="1"/>
  <c r="W9" i="2"/>
  <c r="W157" i="2" s="1"/>
  <c r="V9" i="2"/>
  <c r="V157" i="2" s="1"/>
  <c r="U9" i="2"/>
  <c r="U157" i="2" s="1"/>
  <c r="T9" i="2"/>
  <c r="T157" i="2" s="1"/>
  <c r="S9" i="2"/>
  <c r="S157" i="2" s="1"/>
  <c r="R9" i="2"/>
  <c r="R157" i="2" s="1"/>
  <c r="Q9" i="2"/>
  <c r="Q157" i="2" s="1"/>
  <c r="P9" i="2"/>
  <c r="P157" i="2" s="1"/>
  <c r="N9" i="2"/>
  <c r="O9" i="2" s="1"/>
  <c r="O157" i="2" s="1"/>
  <c r="M9" i="2"/>
  <c r="M157" i="2" s="1"/>
  <c r="L9" i="2"/>
  <c r="L157" i="2" s="1"/>
  <c r="K9" i="2"/>
  <c r="K157" i="2" s="1"/>
  <c r="J9" i="2"/>
  <c r="J157" i="2" s="1"/>
  <c r="I9" i="2"/>
  <c r="I157" i="2" s="1"/>
  <c r="H9" i="2"/>
  <c r="H157" i="2" s="1"/>
  <c r="G9" i="2"/>
  <c r="G157" i="2" s="1"/>
  <c r="F9" i="2"/>
  <c r="F157" i="2" s="1"/>
  <c r="E9" i="2"/>
  <c r="E157" i="2" s="1"/>
  <c r="D9" i="2"/>
  <c r="D157" i="2" s="1"/>
  <c r="C9" i="2"/>
  <c r="C157" i="2" s="1"/>
  <c r="CB8" i="2"/>
  <c r="BO8" i="2"/>
  <c r="BB8" i="2"/>
  <c r="AO8" i="2"/>
  <c r="AA8" i="2"/>
  <c r="AA156" i="2" s="1"/>
  <c r="Z8" i="2"/>
  <c r="Z156" i="2" s="1"/>
  <c r="Y8" i="2"/>
  <c r="X8" i="2"/>
  <c r="X14" i="2" s="1"/>
  <c r="W8" i="2"/>
  <c r="V8" i="2"/>
  <c r="U8" i="2"/>
  <c r="T8" i="2"/>
  <c r="S8" i="2"/>
  <c r="S156" i="2" s="1"/>
  <c r="R8" i="2"/>
  <c r="R156" i="2" s="1"/>
  <c r="Q8" i="2"/>
  <c r="Q156" i="2" s="1"/>
  <c r="P8" i="2"/>
  <c r="P156" i="2" s="1"/>
  <c r="N8" i="2"/>
  <c r="N156" i="2" s="1"/>
  <c r="M8" i="2"/>
  <c r="L8" i="2"/>
  <c r="K8" i="2"/>
  <c r="J8" i="2"/>
  <c r="I8" i="2"/>
  <c r="H8" i="2"/>
  <c r="H156" i="2" s="1"/>
  <c r="G8" i="2"/>
  <c r="G156" i="2" s="1"/>
  <c r="F8" i="2"/>
  <c r="F156" i="2" s="1"/>
  <c r="E8" i="2"/>
  <c r="E156" i="2" s="1"/>
  <c r="D8" i="2"/>
  <c r="D156" i="2" s="1"/>
  <c r="C8" i="2"/>
  <c r="BB161" i="2" l="1"/>
  <c r="BB38" i="2"/>
  <c r="BB53" i="2"/>
  <c r="D15" i="3" s="1"/>
  <c r="BB65" i="2"/>
  <c r="E15" i="3" s="1"/>
  <c r="G15" i="3" s="1"/>
  <c r="BB77" i="2"/>
  <c r="F15" i="3" s="1"/>
  <c r="BB92" i="2"/>
  <c r="D16" i="3" s="1"/>
  <c r="BB104" i="2"/>
  <c r="E16" i="3" s="1"/>
  <c r="BB116" i="2"/>
  <c r="O8" i="2"/>
  <c r="O156" i="2" s="1"/>
  <c r="CB159" i="2"/>
  <c r="CB53" i="2"/>
  <c r="CB65" i="2"/>
  <c r="CB77" i="2"/>
  <c r="CB92" i="2"/>
  <c r="CB104" i="2"/>
  <c r="CB161" i="2"/>
  <c r="G27" i="3"/>
  <c r="H23" i="3"/>
  <c r="H25" i="3"/>
  <c r="BO159" i="2"/>
  <c r="BO157" i="2"/>
  <c r="K14" i="2"/>
  <c r="K33" i="3" s="1"/>
  <c r="W14" i="2"/>
  <c r="CB157" i="2"/>
  <c r="BB157" i="2"/>
  <c r="BB160" i="2"/>
  <c r="CB26" i="2"/>
  <c r="AO161" i="2"/>
  <c r="L35" i="3"/>
  <c r="L36" i="3" s="1"/>
  <c r="M35" i="3"/>
  <c r="M36" i="3" s="1"/>
  <c r="C25" i="3"/>
  <c r="I25" i="3" s="1"/>
  <c r="BO161" i="2"/>
  <c r="M33" i="3"/>
  <c r="N35" i="3"/>
  <c r="C23" i="3"/>
  <c r="I23" i="3" s="1"/>
  <c r="AB159" i="2"/>
  <c r="C34" i="3"/>
  <c r="C35" i="3"/>
  <c r="AO159" i="2"/>
  <c r="C33" i="3"/>
  <c r="D34" i="3"/>
  <c r="D35" i="3"/>
  <c r="D33" i="3"/>
  <c r="E34" i="3"/>
  <c r="AO38" i="2"/>
  <c r="E35" i="3"/>
  <c r="AO53" i="2"/>
  <c r="AO65" i="2"/>
  <c r="AO77" i="2"/>
  <c r="AO92" i="2"/>
  <c r="AO104" i="2"/>
  <c r="AO116" i="2"/>
  <c r="AB161" i="2"/>
  <c r="E33" i="3"/>
  <c r="C26" i="3"/>
  <c r="I26" i="3" s="1"/>
  <c r="L26" i="3" s="1"/>
  <c r="G34" i="3"/>
  <c r="G36" i="3" s="1"/>
  <c r="BO38" i="2"/>
  <c r="BO53" i="2"/>
  <c r="BO65" i="2"/>
  <c r="BO77" i="2"/>
  <c r="BO92" i="2"/>
  <c r="BO104" i="2"/>
  <c r="BO116" i="2"/>
  <c r="AO157" i="2"/>
  <c r="G33" i="3"/>
  <c r="CB38" i="2"/>
  <c r="CB116" i="2"/>
  <c r="H15" i="3"/>
  <c r="K36" i="3"/>
  <c r="I27" i="3"/>
  <c r="L27" i="3" s="1"/>
  <c r="I36" i="3"/>
  <c r="J23" i="3"/>
  <c r="J36" i="3"/>
  <c r="J24" i="3"/>
  <c r="I24" i="3"/>
  <c r="J27" i="3"/>
  <c r="L14" i="2"/>
  <c r="L33" i="3" s="1"/>
  <c r="J14" i="2"/>
  <c r="J33" i="3" s="1"/>
  <c r="V14" i="2"/>
  <c r="BO26" i="2"/>
  <c r="AB38" i="2"/>
  <c r="AB53" i="2"/>
  <c r="AB65" i="2"/>
  <c r="AB77" i="2"/>
  <c r="AB92" i="2"/>
  <c r="AB104" i="2"/>
  <c r="AB116" i="2"/>
  <c r="O10" i="2"/>
  <c r="O158" i="2" s="1"/>
  <c r="E44" i="3"/>
  <c r="N14" i="2"/>
  <c r="N33" i="3" s="1"/>
  <c r="Z14" i="2"/>
  <c r="BB158" i="2"/>
  <c r="AA161" i="2"/>
  <c r="E22" i="3"/>
  <c r="E28" i="3" s="1"/>
  <c r="D22" i="3"/>
  <c r="C14" i="2"/>
  <c r="AB26" i="2"/>
  <c r="F22" i="3"/>
  <c r="F28" i="3" s="1"/>
  <c r="G22" i="3"/>
  <c r="M14" i="2"/>
  <c r="BB156" i="2"/>
  <c r="F14" i="3"/>
  <c r="H22" i="3"/>
  <c r="H28" i="3" s="1"/>
  <c r="J25" i="3"/>
  <c r="BO156" i="2"/>
  <c r="O26" i="2"/>
  <c r="D41" i="3" s="1"/>
  <c r="Y14" i="2"/>
  <c r="AO156" i="2"/>
  <c r="CB14" i="2"/>
  <c r="AB157" i="2"/>
  <c r="AO158" i="2"/>
  <c r="T14" i="2"/>
  <c r="AO26" i="2"/>
  <c r="I14" i="2"/>
  <c r="I33" i="3" s="1"/>
  <c r="U14" i="2"/>
  <c r="O12" i="2"/>
  <c r="O160" i="2" s="1"/>
  <c r="BB26" i="2"/>
  <c r="O116" i="2"/>
  <c r="H16" i="3"/>
  <c r="H14" i="2"/>
  <c r="H33" i="3" s="1"/>
  <c r="C156" i="2"/>
  <c r="T156" i="2"/>
  <c r="CB156" i="2"/>
  <c r="AB8" i="2"/>
  <c r="AB10" i="2"/>
  <c r="AB158" i="2" s="1"/>
  <c r="AB12" i="2"/>
  <c r="AB160" i="2" s="1"/>
  <c r="D14" i="2"/>
  <c r="P14" i="2"/>
  <c r="J156" i="2"/>
  <c r="V156" i="2"/>
  <c r="AA157" i="2"/>
  <c r="U156" i="2"/>
  <c r="N157" i="2"/>
  <c r="E14" i="2"/>
  <c r="Q14" i="2"/>
  <c r="AO14" i="2"/>
  <c r="K156" i="2"/>
  <c r="W156" i="2"/>
  <c r="N159" i="2"/>
  <c r="I156" i="2"/>
  <c r="F14" i="2"/>
  <c r="F33" i="3" s="1"/>
  <c r="R14" i="2"/>
  <c r="BB14" i="2"/>
  <c r="L156" i="2"/>
  <c r="X156" i="2"/>
  <c r="AA159" i="2"/>
  <c r="AA14" i="2"/>
  <c r="G14" i="2"/>
  <c r="S14" i="2"/>
  <c r="BO14" i="2"/>
  <c r="N26" i="2"/>
  <c r="N34" i="3" s="1"/>
  <c r="M156" i="2"/>
  <c r="Y156" i="2"/>
  <c r="N161" i="2"/>
  <c r="C43" i="3" l="1"/>
  <c r="D43" i="3"/>
  <c r="C45" i="3"/>
  <c r="D46" i="3"/>
  <c r="C46" i="3"/>
  <c r="D45" i="3"/>
  <c r="H46" i="3" s="1"/>
  <c r="G28" i="3"/>
  <c r="L23" i="3"/>
  <c r="N36" i="3"/>
  <c r="K25" i="3"/>
  <c r="L25" i="3"/>
  <c r="D36" i="3"/>
  <c r="E41" i="3"/>
  <c r="F41" i="3" s="1"/>
  <c r="F16" i="3"/>
  <c r="G16" i="3" s="1"/>
  <c r="C28" i="3"/>
  <c r="C36" i="3"/>
  <c r="O35" i="3"/>
  <c r="E45" i="3"/>
  <c r="E43" i="3"/>
  <c r="F43" i="3" s="1"/>
  <c r="E46" i="3"/>
  <c r="F46" i="3" s="1"/>
  <c r="E36" i="3"/>
  <c r="K23" i="3"/>
  <c r="K27" i="3"/>
  <c r="L24" i="3"/>
  <c r="D42" i="3"/>
  <c r="O14" i="2"/>
  <c r="C41" i="3" s="1"/>
  <c r="K26" i="3"/>
  <c r="J22" i="3"/>
  <c r="J28" i="3" s="1"/>
  <c r="D28" i="3"/>
  <c r="G41" i="3"/>
  <c r="E42" i="3"/>
  <c r="I22" i="3"/>
  <c r="I28" i="3" s="1"/>
  <c r="K24" i="3"/>
  <c r="C44" i="3"/>
  <c r="O33" i="3"/>
  <c r="D44" i="3"/>
  <c r="O34" i="3"/>
  <c r="E14" i="3"/>
  <c r="AB156" i="2"/>
  <c r="AB14" i="2"/>
  <c r="C42" i="3" s="1"/>
  <c r="I44" i="3" l="1"/>
  <c r="G46" i="3"/>
  <c r="G43" i="3"/>
  <c r="I46" i="3"/>
  <c r="F17" i="3"/>
  <c r="F7" i="3" s="1"/>
  <c r="G45" i="3"/>
  <c r="O36" i="3"/>
  <c r="F45" i="3"/>
  <c r="I45" i="3"/>
  <c r="D14" i="3"/>
  <c r="D17" i="3" s="1"/>
  <c r="B7" i="3" s="1"/>
  <c r="E17" i="3"/>
  <c r="G14" i="3"/>
  <c r="H14" i="3"/>
  <c r="I42" i="3"/>
  <c r="I43" i="3"/>
  <c r="G44" i="3"/>
  <c r="F44" i="3"/>
  <c r="H45" i="3"/>
  <c r="H44" i="3"/>
  <c r="H42" i="3"/>
  <c r="H43" i="3"/>
  <c r="F42" i="3"/>
  <c r="G42" i="3"/>
  <c r="K22" i="3"/>
  <c r="K28" i="3" s="1"/>
  <c r="L22" i="3"/>
  <c r="M22" i="3"/>
  <c r="L28" i="3"/>
  <c r="M23" i="3"/>
  <c r="M24" i="3"/>
  <c r="M25" i="3"/>
  <c r="M26" i="3"/>
  <c r="M27" i="3"/>
  <c r="I14" i="3" l="1"/>
  <c r="I15" i="3"/>
  <c r="H17" i="3"/>
  <c r="H7" i="3" s="1"/>
  <c r="G17" i="3"/>
  <c r="J7" i="3" s="1"/>
  <c r="D7" i="3"/>
  <c r="I16" i="3"/>
  <c r="M28" i="3"/>
  <c r="I17" i="3" l="1"/>
</calcChain>
</file>

<file path=xl/sharedStrings.xml><?xml version="1.0" encoding="utf-8"?>
<sst xmlns="http://schemas.openxmlformats.org/spreadsheetml/2006/main" count="897" uniqueCount="112">
  <si>
    <t>MINISTERIO DE OBRAS PÚBLICAS — DASHBOARD DE INVERSIÓN Y EJECUCIÓN PRESUPUESTARIA</t>
  </si>
  <si>
    <t>Visualizador Analítico Interactivo Tabla a Tabla | Subtítulos 31, 29, 33 y Consolidado Total | Cifras en miles de pesos ($)</t>
  </si>
  <si>
    <t>AÑO SELECCIONADO:</t>
  </si>
  <si>
    <t>COBERTURA TEMPORAL:</t>
  </si>
  <si>
    <t>2021 - 2026 (Ene - Dic)</t>
  </si>
  <si>
    <t>UNIDAD MONETARIA:</t>
  </si>
  <si>
    <t>Miles de $ Corrientes (DIPRES)</t>
  </si>
  <si>
    <t>PRESUPUESTO LEY (INICIAL)</t>
  </si>
  <si>
    <t>PRESUPUESTO VIGENTE</t>
  </si>
  <si>
    <t>EJECUCIÓN ACUMULADA</t>
  </si>
  <si>
    <t>% CUMPLIMIENTO PRESUPUESTARIO</t>
  </si>
  <si>
    <t>SALDO POR EJECUTAR</t>
  </si>
  <si>
    <t>Aprobado Ley de Presupuesto</t>
  </si>
  <si>
    <t>Presupuesto anual actualizado</t>
  </si>
  <si>
    <t>Total devengado en el ejercicio</t>
  </si>
  <si>
    <t>Ejecución devengada / Presupuesto vigente</t>
  </si>
  <si>
    <t>Monto disponible no devengado</t>
  </si>
  <si>
    <t>TABLA 1: RESUMEN CONSOLIDADO POR SUBTÍTULO PRESUPUESTARIO</t>
  </si>
  <si>
    <t>Subtítulo Presupuestario</t>
  </si>
  <si>
    <t>Cód.</t>
  </si>
  <si>
    <t>Presupuesto Ley</t>
  </si>
  <si>
    <t>Presupuesto Vigente</t>
  </si>
  <si>
    <t>Ejecución Acumulada</t>
  </si>
  <si>
    <t>Saldo por Ejecutar</t>
  </si>
  <si>
    <t>% Ejecución</t>
  </si>
  <si>
    <t>% Participación</t>
  </si>
  <si>
    <t>Subtítulo 31 – Iniciativas de Inversión</t>
  </si>
  <si>
    <t>31</t>
  </si>
  <si>
    <t>Subtítulo 29 – Activos No Financieros</t>
  </si>
  <si>
    <t>29</t>
  </si>
  <si>
    <t>Subtítulo 33 – Transferencias de Capital</t>
  </si>
  <si>
    <t>33</t>
  </si>
  <si>
    <t>TOTAL INVERSIÓN MOP (31 + 29 + 33)</t>
  </si>
  <si>
    <t>TOTAL</t>
  </si>
  <si>
    <t>TABLA 2: DESGLOSE COMPLETO POR PROGRAMA / DIRECCIÓN (AÑO SELECCIONADO)</t>
  </si>
  <si>
    <t>Dirección / Programa</t>
  </si>
  <si>
    <t>Subt. 31 Vigente</t>
  </si>
  <si>
    <t>Subt. 31 Ejecución</t>
  </si>
  <si>
    <t>Subt. 29 Vigente</t>
  </si>
  <si>
    <t>Subt. 29 Ejecución</t>
  </si>
  <si>
    <t>Subt. 33 Vigente</t>
  </si>
  <si>
    <t>Subt. 33 Ejecución</t>
  </si>
  <si>
    <t>Total Vigente</t>
  </si>
  <si>
    <t>Total Ejecución</t>
  </si>
  <si>
    <t>Saldo</t>
  </si>
  <si>
    <t>% Part. MOP</t>
  </si>
  <si>
    <t>Dirección de Vialidad</t>
  </si>
  <si>
    <t>Dirección de Obras Hidráulicas</t>
  </si>
  <si>
    <t>Subdirección de APR</t>
  </si>
  <si>
    <t>Dirección de Obras Portuarias</t>
  </si>
  <si>
    <t>Dirección de Aeropuertos</t>
  </si>
  <si>
    <t>Dirección de Arquitectura</t>
  </si>
  <si>
    <t>TOTAL MOP</t>
  </si>
  <si>
    <t>TABLA 3: EVOLUCIÓN MENSUAL DEL AÑO SELECCIONADO (ENERO A DICIEMBRE)</t>
  </si>
  <si>
    <t>Concepto / Mes</t>
  </si>
  <si>
    <t>Ene</t>
  </si>
  <si>
    <t>Feb</t>
  </si>
  <si>
    <t>Mar</t>
  </si>
  <si>
    <t>Abr</t>
  </si>
  <si>
    <t>May</t>
  </si>
  <si>
    <t>Jun</t>
  </si>
  <si>
    <t>Jul</t>
  </si>
  <si>
    <t>Ago</t>
  </si>
  <si>
    <t>Sep</t>
  </si>
  <si>
    <t>Oct</t>
  </si>
  <si>
    <t>Nov</t>
  </si>
  <si>
    <t>Dic</t>
  </si>
  <si>
    <t>Cierre Total</t>
  </si>
  <si>
    <t>% Avance Ejecución</t>
  </si>
  <si>
    <t>TABLA 4: COMPARATIVA HISTÓRICA MULTIANUAL (2021 - 2026)</t>
  </si>
  <si>
    <t>Año</t>
  </si>
  <si>
    <t>Crec. Vigente (YoY)</t>
  </si>
  <si>
    <t>Crec. Ejecución (YoY)</t>
  </si>
  <si>
    <t>-</t>
  </si>
  <si>
    <t>Ministerio de Obras Públicas · Partida 12</t>
  </si>
  <si>
    <t>Miles de pesos · moneda corriente · montos devengados</t>
  </si>
  <si>
    <t>Subtítulo 31 — Iniciativas de Inversión</t>
  </si>
  <si>
    <t>Presupuesto Ley de Inversión en Infraestructura Pública del Ministerio de Obras Públicas, 2021-2026 (Subtítulo 31 — Iniciativas de Inversión, miles de pesos)</t>
  </si>
  <si>
    <t>2021(1)</t>
  </si>
  <si>
    <t>2022(1)</t>
  </si>
  <si>
    <t>Programa</t>
  </si>
  <si>
    <t>Total 2021</t>
  </si>
  <si>
    <t>Total 2022</t>
  </si>
  <si>
    <t>Total 2023</t>
  </si>
  <si>
    <t>Total 2024</t>
  </si>
  <si>
    <t>Total 2025</t>
  </si>
  <si>
    <t>Total 2026</t>
  </si>
  <si>
    <t>Total</t>
  </si>
  <si>
    <t>(1) Los años 2021 y 2022 incluyen el Presupuesto Ley del Subtítulo 30, Ítem 10. Fuente: elaboración propia, Dipres.</t>
  </si>
  <si>
    <t>Presupuesto Vigente de Inversión en Infraestructura Pública del Ministerio de Obras Públicas, 2021-2026 (Subtítulo 31 — Iniciativas de Inversión, miles de pesos)</t>
  </si>
  <si>
    <t>(1) Los años 2021 y 2022 incluyen el Presupuesto Vigente del Subtítulo 30, Ítem 10. Fuente: elaboración propia, Dipres.</t>
  </si>
  <si>
    <t>Ejecución de Inversión en Infraestructura Pública del Ministerio de Obras Públicas, 2021-2026 (Subtítulo 31 — Iniciativas de Inversión, miles de pesos)</t>
  </si>
  <si>
    <t>Fuente: elaboración propia, Dipres.</t>
  </si>
  <si>
    <t>Subtítulo 29 — Adquisición de Activos No Financieros</t>
  </si>
  <si>
    <t>Presupuesto Ley de Inversión en Infraestructura Pública del Ministerio de Obras Públicas, 2021-2026 (Subtítulo 29 — Adquisición de Activos No Financieros, miles de pesos)</t>
  </si>
  <si>
    <t>Presupuesto Vigente de Inversión en Infraestructura Pública del Ministerio de Obras Públicas, 2021-2026 (Subtítulo 29 — Adquisición de Activos No Financieros, miles de pesos)</t>
  </si>
  <si>
    <t>Ejecución de Inversión en Infraestructura Pública del Ministerio de Obras Públicas, 2021-2026 (Subtítulo 29 — Adquisición de Activos No Financieros, miles de pesos)</t>
  </si>
  <si>
    <t>Subtítulo 33 — Transferencias de Capital</t>
  </si>
  <si>
    <t>Presupuesto Ley de Inversión en Infraestructura Pública del Ministerio de Obras Públicas, 2021-2026 (Subtítulo 33 — Transferencias de Capital, miles de pesos)</t>
  </si>
  <si>
    <t>El Subtítulo 33 solo aparece en APR, desde 2023. En los demás Programas y años no está en los informes de ejecución. Fuente: elaboración propia, Dipres.</t>
  </si>
  <si>
    <t>Presupuesto Vigente de Inversión en Infraestructura Pública del Ministerio de Obras Públicas, 2021-2026 (Subtítulo 33 — Transferencias de Capital, miles de pesos)</t>
  </si>
  <si>
    <t>Ejecución de Inversión en Infraestructura Pública del Ministerio de Obras Públicas, 2021-2026 (Subtítulo 33 — Transferencias de Capital, miles de pesos)</t>
  </si>
  <si>
    <t>La columna Total de cada año es el cierre de diciembre, no la suma de los doce meses. Dipres informa la ejecución ACUMULADA al mes, así que diciembre ya contiene el año completo; y el Presupuesto Ley y el Vigente son niveles, no flujos, de modo que sumar doce meses los multiplicaría por doce.</t>
  </si>
  <si>
    <t>Las columnas mensuales están agrupadas: la hoja abre mostrando solo las columnas anuales, y con el botón + que aparece sobre cada año se despliegan sus doce meses.</t>
  </si>
  <si>
    <t>Años cargados: 2021, 2022, 2023, 2024, 2025 y 2026 (a julio).</t>
  </si>
  <si>
    <t>Pendientes de cargar: agosto a diciembre 2026.</t>
  </si>
  <si>
    <t>Los meses de marzo, junio, septiembre y diciembre provienen del informe trimestral, cuyo acumulado corresponde al último mes del trimestre.</t>
  </si>
  <si>
    <t>No se incluye la Dirección General de Concesiones, por tratarse de inversiones con distinta naturaleza de financiamiento.</t>
  </si>
  <si>
    <t>(1) El Fondo de Emergencia Transitorio Covid-19 (Ley N°21.288) se aplicó de forma excepcional solo en 2021 y 2022. Es parte del presupuesto, así que su Subtítulo 30, Ítem 10 se suma al Subtítulo 31 en el Presupuesto Ley y en el Presupuesto Vigente de esos dos años. La suma quedó escrita a la vista en cada celda.</t>
  </si>
  <si>
    <t>En 2021 el Fondo tiene Presupuesto Vigente en los seis Programas. En 2022 aparece en el Presupuesto Ley de los seis, pero su Vigente quedó en cero: se retiró durante el año. La única excepción es Arquitectura, que lo mantuvo de enero a junio. El Ítem 10 no registra ejecución en ningún Programa de ninguno de los dos años.</t>
  </si>
  <si>
    <t>No se incluye el programa 120253, Obras Hidráulicas FET - Covid-19, que es un programa aparte sin Presupuesto Ley. El programa principal de Obras Hidráulicas por sí solo cierra 2021 en 129.806.818, que coincide con el archivo histórico del Ministerio.</t>
  </si>
  <si>
    <t>Cifras completadas y validadas contra la base oficial de Dipres.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</si>
</sst>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
  </numFmts>
  <fonts count="18" x14ac:knownFonts="1">
    <font>
      <sz val="11"/>
      <color theme="1"/>
      <name val="Calibri"/>
      <family val="2"/>
      <scheme val="minor"/>
    </font>
    <font>
      <b/>
      <sz val="12"/>
      <name val="Calibri"/>
      <family val="2"/>
    </font>
    <font>
      <i/>
      <sz val="10"/>
      <color rgb="FF595959"/>
      <name val="Calibri"/>
      <family val="2"/>
    </font>
    <font>
      <b/>
      <sz val="14"/>
      <name val="Calibri"/>
      <family val="2"/>
    </font>
    <font>
      <sz val="12"/>
      <name val="Calibri"/>
      <family val="2"/>
    </font>
    <font>
      <b/>
      <sz val="16"/>
      <color rgb="FF1B365D"/>
      <name val="Calibri"/>
    </font>
    <font>
      <i/>
      <sz val="10"/>
      <color rgb="FF595959"/>
      <name val="Calibri"/>
    </font>
    <font>
      <b/>
      <sz val="10"/>
      <color rgb="FF000000"/>
      <name val="Calibri"/>
    </font>
    <font>
      <b/>
      <sz val="13"/>
      <color rgb="FFB25900"/>
      <name val="Calibri"/>
    </font>
    <font>
      <sz val="10"/>
      <color rgb="FF000000"/>
      <name val="Calibri"/>
    </font>
    <font>
      <b/>
      <sz val="9"/>
      <color rgb="FF595959"/>
      <name val="Calibri"/>
    </font>
    <font>
      <b/>
      <sz val="15"/>
      <color rgb="FF1B365D"/>
      <name val="Calibri"/>
    </font>
    <font>
      <i/>
      <sz val="8"/>
      <color rgb="FF7F7F7F"/>
      <name val="Calibri"/>
    </font>
    <font>
      <b/>
      <sz val="15"/>
      <color rgb="FF007A3D"/>
      <name val="Calibri"/>
    </font>
    <font>
      <b/>
      <sz val="16"/>
      <color rgb="FF007A3D"/>
      <name val="Calibri"/>
    </font>
    <font>
      <b/>
      <sz val="15"/>
      <color rgb="FFB25900"/>
      <name val="Calibri"/>
    </font>
    <font>
      <b/>
      <sz val="11"/>
      <color rgb="FF1B365D"/>
      <name val="Calibri"/>
    </font>
    <font>
      <b/>
      <sz val="10"/>
      <color rgb="FFFFFFFF"/>
      <name val="Calibri"/>
    </font>
  </fonts>
  <fills count="12">
    <fill>
      <patternFill patternType="none"/>
    </fill>
    <fill>
      <patternFill patternType="gray125"/>
    </fill>
    <fill>
      <patternFill patternType="solid">
        <fgColor theme="9" tint="0.79998168889431442"/>
        <bgColor indexed="65"/>
      </patternFill>
    </fill>
    <fill>
      <patternFill patternType="solid">
        <fgColor theme="6" tint="0.59999389629810485"/>
        <bgColor indexed="65"/>
      </patternFill>
    </fill>
    <fill>
      <patternFill patternType="solid">
        <fgColor theme="6" tint="0.79998168889431442"/>
        <bgColor indexed="65"/>
      </patternFill>
    </fill>
    <fill>
      <patternFill patternType="solid">
        <fgColor rgb="FFFFF2CC"/>
      </patternFill>
    </fill>
    <fill>
      <patternFill patternType="solid">
        <fgColor rgb="FFD9E1F2"/>
        <bgColor rgb="FFD9E1F2"/>
      </patternFill>
    </fill>
    <fill>
      <patternFill patternType="solid">
        <fgColor rgb="FFFFF2CC"/>
        <bgColor rgb="FFFFF2CC"/>
      </patternFill>
    </fill>
    <fill>
      <patternFill patternType="solid">
        <fgColor rgb="FFF2F4F8"/>
        <bgColor rgb="FFF2F4F8"/>
      </patternFill>
    </fill>
    <fill>
      <patternFill patternType="solid">
        <fgColor rgb="FF1B365D"/>
        <bgColor rgb="FF1B365D"/>
      </patternFill>
    </fill>
    <fill>
      <patternFill patternType="solid">
        <fgColor rgb="FF2C3E50"/>
        <bgColor rgb="FF2C3E50"/>
      </patternFill>
    </fill>
    <fill>
      <patternFill patternType="solid">
        <fgColor rgb="FFF9FAFC"/>
        <bgColor rgb="FFF9FAFC"/>
      </patternFill>
    </fill>
  </fills>
  <borders count="16">
    <border>
      <left/>
      <right/>
      <top/>
      <bottom/>
      <diagonal/>
    </border>
    <border>
      <left/>
      <right/>
      <top style="thin">
        <color auto="1"/>
      </top>
      <bottom style="thin">
        <color auto="1"/>
      </bottom>
      <diagonal/>
    </border>
    <border>
      <left/>
      <right/>
      <top style="thin">
        <color auto="1"/>
      </top>
      <bottom style="thin">
        <color auto="1"/>
      </bottom>
      <diagonal/>
    </border>
    <border>
      <left/>
      <right/>
      <top/>
      <bottom/>
      <diagonal/>
    </border>
    <border>
      <left style="thin">
        <color rgb="FFD9D9D9"/>
      </left>
      <right style="thin">
        <color rgb="FFD9D9D9"/>
      </right>
      <top style="thin">
        <color rgb="FFD9D9D9"/>
      </top>
      <bottom style="thin">
        <color rgb="FFD9D9D9"/>
      </bottom>
      <diagonal/>
    </border>
    <border>
      <left style="medium">
        <color rgb="FF1B365D"/>
      </left>
      <right style="medium">
        <color rgb="FF1B365D"/>
      </right>
      <top style="medium">
        <color rgb="FF1B365D"/>
      </top>
      <bottom style="medium">
        <color rgb="FF1B365D"/>
      </bottom>
      <diagonal/>
    </border>
    <border>
      <left style="thin">
        <color rgb="FFD9D9D9"/>
      </left>
      <right/>
      <top style="medium">
        <color rgb="FF1B365D"/>
      </top>
      <bottom/>
      <diagonal/>
    </border>
    <border>
      <left/>
      <right style="thin">
        <color rgb="FFD9D9D9"/>
      </right>
      <top style="medium">
        <color rgb="FF1B365D"/>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1B365D"/>
      </top>
      <bottom/>
      <diagonal/>
    </border>
    <border>
      <left/>
      <right/>
      <top/>
      <bottom/>
      <diagonal/>
    </border>
    <border>
      <left/>
      <right/>
      <top/>
      <bottom style="thin">
        <color rgb="FFD9D9D9"/>
      </bottom>
      <diagonal/>
    </border>
    <border>
      <left style="thin">
        <color rgb="FFD9D9D9"/>
      </left>
      <right style="thin">
        <color rgb="FFD9D9D9"/>
      </right>
      <top style="thin">
        <color rgb="FFD9D9D9"/>
      </top>
      <bottom style="double">
        <color rgb="FF1B365D"/>
      </bottom>
      <diagonal/>
    </border>
  </borders>
  <cellStyleXfs count="1">
    <xf numFmtId="0" fontId="0" fillId="0" borderId="3"/>
  </cellStyleXfs>
  <cellXfs count="65">
    <xf numFmtId="0" fontId="0" fillId="0" borderId="0" xfId="0" applyBorder="1"/>
    <xf numFmtId="0" fontId="1" fillId="0" borderId="0" xfId="0" applyFont="1" applyBorder="1" applyAlignment="1">
      <alignment vertical="center"/>
    </xf>
    <xf numFmtId="0" fontId="0" fillId="3" borderId="1" xfId="0" applyFill="1" applyBorder="1"/>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4" fillId="0" borderId="0" xfId="0" applyFont="1" applyBorder="1" applyAlignment="1">
      <alignment vertical="center" wrapText="1"/>
    </xf>
    <xf numFmtId="164" fontId="4" fillId="0" borderId="0" xfId="0" applyNumberFormat="1" applyFont="1" applyBorder="1" applyAlignment="1">
      <alignment horizontal="center" vertical="center"/>
    </xf>
    <xf numFmtId="164" fontId="1" fillId="0" borderId="0" xfId="0" applyNumberFormat="1" applyFont="1" applyBorder="1" applyAlignment="1">
      <alignment horizontal="center" vertical="center"/>
    </xf>
    <xf numFmtId="164" fontId="4" fillId="5" borderId="0" xfId="0" applyNumberFormat="1" applyFont="1" applyFill="1" applyBorder="1" applyAlignment="1">
      <alignment horizontal="center" vertical="center"/>
    </xf>
    <xf numFmtId="164" fontId="1" fillId="4" borderId="1" xfId="0" applyNumberFormat="1" applyFont="1" applyFill="1" applyBorder="1" applyAlignment="1">
      <alignment horizontal="center" vertical="center"/>
    </xf>
    <xf numFmtId="164" fontId="0" fillId="0" borderId="0" xfId="0" applyNumberFormat="1" applyBorder="1"/>
    <xf numFmtId="0" fontId="0" fillId="0" borderId="0" xfId="0" applyBorder="1"/>
    <xf numFmtId="0" fontId="5" fillId="0" borderId="0" xfId="0" applyFont="1" applyBorder="1"/>
    <xf numFmtId="0" fontId="6" fillId="0" borderId="0" xfId="0" applyFont="1" applyBorder="1"/>
    <xf numFmtId="0" fontId="7" fillId="6" borderId="4" xfId="0" applyFont="1" applyFill="1" applyBorder="1" applyAlignment="1">
      <alignment horizontal="right" vertical="center"/>
    </xf>
    <xf numFmtId="0" fontId="8" fillId="7" borderId="5" xfId="0" applyFont="1" applyFill="1" applyBorder="1" applyAlignment="1">
      <alignment horizontal="center" vertical="center"/>
    </xf>
    <xf numFmtId="0" fontId="16" fillId="0" borderId="0" xfId="0" applyFont="1" applyBorder="1"/>
    <xf numFmtId="0" fontId="17" fillId="9" borderId="4" xfId="0" applyFont="1" applyFill="1" applyBorder="1" applyAlignment="1">
      <alignment horizontal="center" vertical="center" wrapText="1"/>
    </xf>
    <xf numFmtId="0" fontId="9" fillId="0" borderId="4" xfId="0" applyFont="1" applyBorder="1"/>
    <xf numFmtId="0" fontId="9" fillId="0" borderId="4" xfId="0" applyFont="1" applyBorder="1" applyAlignment="1">
      <alignment horizontal="center"/>
    </xf>
    <xf numFmtId="164" fontId="9" fillId="0" borderId="4" xfId="0" applyNumberFormat="1" applyFont="1" applyBorder="1" applyAlignment="1">
      <alignment horizontal="right"/>
    </xf>
    <xf numFmtId="165" fontId="9" fillId="0" borderId="4" xfId="0" applyNumberFormat="1" applyFont="1" applyBorder="1" applyAlignment="1">
      <alignment horizontal="right"/>
    </xf>
    <xf numFmtId="0" fontId="7" fillId="6" borderId="15" xfId="0" applyFont="1" applyFill="1" applyBorder="1"/>
    <xf numFmtId="0" fontId="7" fillId="6" borderId="15" xfId="0" applyFont="1" applyFill="1" applyBorder="1" applyAlignment="1">
      <alignment horizontal="center"/>
    </xf>
    <xf numFmtId="164" fontId="7" fillId="6" borderId="15" xfId="0" applyNumberFormat="1" applyFont="1" applyFill="1" applyBorder="1" applyAlignment="1">
      <alignment horizontal="right"/>
    </xf>
    <xf numFmtId="165" fontId="7" fillId="6" borderId="15" xfId="0" applyNumberFormat="1" applyFont="1" applyFill="1" applyBorder="1" applyAlignment="1">
      <alignment horizontal="right"/>
    </xf>
    <xf numFmtId="0" fontId="17" fillId="10" borderId="4" xfId="0" applyFont="1" applyFill="1" applyBorder="1" applyAlignment="1">
      <alignment horizontal="center" vertical="center" wrapText="1"/>
    </xf>
    <xf numFmtId="0" fontId="9" fillId="11" borderId="4" xfId="0" applyFont="1" applyFill="1" applyBorder="1"/>
    <xf numFmtId="164" fontId="9" fillId="11" borderId="4" xfId="0" applyNumberFormat="1" applyFont="1" applyFill="1" applyBorder="1" applyAlignment="1">
      <alignment horizontal="right"/>
    </xf>
    <xf numFmtId="165" fontId="9" fillId="11" borderId="4" xfId="0" applyNumberFormat="1" applyFont="1" applyFill="1" applyBorder="1" applyAlignment="1">
      <alignment horizontal="right"/>
    </xf>
    <xf numFmtId="0" fontId="17" fillId="9" borderId="4" xfId="0" applyFont="1" applyFill="1" applyBorder="1" applyAlignment="1">
      <alignment horizontal="center" vertical="center"/>
    </xf>
    <xf numFmtId="164" fontId="9" fillId="6" borderId="4" xfId="0" applyNumberFormat="1" applyFont="1" applyFill="1" applyBorder="1" applyAlignment="1">
      <alignment horizontal="right"/>
    </xf>
    <xf numFmtId="0" fontId="7" fillId="0" borderId="4" xfId="0" applyFont="1" applyBorder="1"/>
    <xf numFmtId="164" fontId="7" fillId="0" borderId="4" xfId="0" applyNumberFormat="1" applyFont="1" applyBorder="1" applyAlignment="1">
      <alignment horizontal="right"/>
    </xf>
    <xf numFmtId="164" fontId="7" fillId="6" borderId="4" xfId="0" applyNumberFormat="1" applyFont="1" applyFill="1" applyBorder="1" applyAlignment="1">
      <alignment horizontal="right"/>
    </xf>
    <xf numFmtId="0" fontId="7" fillId="0" borderId="15" xfId="0" applyFont="1" applyBorder="1"/>
    <xf numFmtId="165" fontId="7" fillId="0" borderId="15" xfId="0" applyNumberFormat="1" applyFont="1" applyBorder="1" applyAlignment="1">
      <alignment horizontal="right"/>
    </xf>
    <xf numFmtId="0" fontId="7" fillId="11" borderId="4" xfId="0" applyFont="1" applyFill="1" applyBorder="1" applyAlignment="1">
      <alignment horizontal="center"/>
    </xf>
    <xf numFmtId="0" fontId="9" fillId="11" borderId="4" xfId="0" applyFont="1" applyFill="1" applyBorder="1" applyAlignment="1">
      <alignment horizontal="right"/>
    </xf>
    <xf numFmtId="0" fontId="7" fillId="0" borderId="4" xfId="0" applyFont="1" applyBorder="1" applyAlignment="1">
      <alignment horizontal="center"/>
    </xf>
    <xf numFmtId="164" fontId="11" fillId="8" borderId="8" xfId="0" applyNumberFormat="1" applyFont="1" applyFill="1" applyBorder="1" applyAlignment="1">
      <alignment horizontal="center" vertical="center"/>
    </xf>
    <xf numFmtId="0" fontId="0" fillId="0" borderId="9" xfId="0" applyBorder="1"/>
    <xf numFmtId="0" fontId="0" fillId="0" borderId="8" xfId="0" applyBorder="1"/>
    <xf numFmtId="164" fontId="13" fillId="8" borderId="8" xfId="0" applyNumberFormat="1" applyFont="1" applyFill="1" applyBorder="1" applyAlignment="1">
      <alignment horizontal="center" vertical="center"/>
    </xf>
    <xf numFmtId="165" fontId="14" fillId="8" borderId="8" xfId="0" applyNumberFormat="1" applyFont="1" applyFill="1" applyBorder="1" applyAlignment="1">
      <alignment horizontal="center" vertical="center"/>
    </xf>
    <xf numFmtId="164" fontId="15" fillId="8" borderId="8" xfId="0" applyNumberFormat="1" applyFont="1" applyFill="1" applyBorder="1" applyAlignment="1">
      <alignment horizontal="center" vertical="center"/>
    </xf>
    <xf numFmtId="0" fontId="0" fillId="0" borderId="13" xfId="0" applyBorder="1"/>
    <xf numFmtId="0" fontId="12" fillId="8" borderId="10" xfId="0" applyFont="1" applyFill="1" applyBorder="1" applyAlignment="1">
      <alignment horizontal="center" vertical="center"/>
    </xf>
    <xf numFmtId="0" fontId="0" fillId="0" borderId="11" xfId="0" applyBorder="1"/>
    <xf numFmtId="0" fontId="0" fillId="0" borderId="14" xfId="0" applyBorder="1"/>
    <xf numFmtId="0" fontId="7" fillId="6" borderId="4" xfId="0" applyFont="1" applyFill="1" applyBorder="1" applyAlignment="1">
      <alignment horizontal="right" vertical="center"/>
    </xf>
    <xf numFmtId="0" fontId="0" fillId="0" borderId="4" xfId="0" applyBorder="1"/>
    <xf numFmtId="0" fontId="7" fillId="0" borderId="4" xfId="0" applyFont="1" applyBorder="1" applyAlignment="1">
      <alignment horizontal="center" vertical="center"/>
    </xf>
    <xf numFmtId="0" fontId="9" fillId="0" borderId="4" xfId="0" applyFont="1" applyBorder="1" applyAlignment="1">
      <alignment horizontal="center" vertical="center"/>
    </xf>
    <xf numFmtId="0" fontId="10" fillId="8" borderId="6" xfId="0" applyFont="1" applyFill="1" applyBorder="1" applyAlignment="1">
      <alignment horizontal="center" vertical="center"/>
    </xf>
    <xf numFmtId="0" fontId="0" fillId="0" borderId="7" xfId="0" applyBorder="1"/>
    <xf numFmtId="0" fontId="0" fillId="0" borderId="12" xfId="0" applyBorder="1"/>
    <xf numFmtId="0" fontId="2" fillId="0" borderId="3" xfId="0" applyFont="1"/>
    <xf numFmtId="0" fontId="0" fillId="0" borderId="0" xfId="0" applyBorder="1"/>
    <xf numFmtId="0" fontId="1" fillId="3" borderId="2" xfId="0" applyFont="1" applyFill="1" applyBorder="1" applyAlignment="1">
      <alignment horizontal="center" vertical="center"/>
    </xf>
    <xf numFmtId="0" fontId="0" fillId="0" borderId="2" xfId="0" applyBorder="1"/>
    <xf numFmtId="0" fontId="1" fillId="0" borderId="3" xfId="0" applyFont="1" applyAlignment="1">
      <alignment horizontal="center"/>
    </xf>
    <xf numFmtId="0" fontId="3" fillId="2" borderId="3" xfId="0" applyFont="1" applyFill="1" applyAlignment="1">
      <alignment vertical="center"/>
    </xf>
    <xf numFmtId="0" fontId="2" fillId="0" borderId="3"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Presupuesto Vigente vs Ejecución Acumulada por Dirección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Total Vigente</c:v>
          </c:tx>
          <c:spPr>
            <a:solidFill>
              <a:schemeClr val="accent1"/>
            </a:solidFill>
            <a:ln>
              <a:noFill/>
            </a:ln>
            <a:effectLst/>
          </c:spPr>
          <c:invertIfNegative val="0"/>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Dashboard!$I$22:$I$27</c:f>
              <c:numCache>
                <c:formatCode>_-* #,##0_-;\-* #,##0_-;_-* "-"_-;_-@_-</c:formatCode>
                <c:ptCount val="6"/>
                <c:pt idx="0">
                  <c:v>1609788387</c:v>
                </c:pt>
                <c:pt idx="1">
                  <c:v>245227270</c:v>
                </c:pt>
                <c:pt idx="2">
                  <c:v>192822491</c:v>
                </c:pt>
                <c:pt idx="3">
                  <c:v>125413689</c:v>
                </c:pt>
                <c:pt idx="4">
                  <c:v>123298425</c:v>
                </c:pt>
                <c:pt idx="5">
                  <c:v>34318109</c:v>
                </c:pt>
              </c:numCache>
            </c:numRef>
          </c:val>
          <c:extLst>
            <c:ext xmlns:c16="http://schemas.microsoft.com/office/drawing/2014/chart" uri="{C3380CC4-5D6E-409C-BE32-E72D297353CC}">
              <c16:uniqueId val="{00000002-ACA2-4BE3-A1F8-F1ED85B2FDF2}"/>
            </c:ext>
          </c:extLst>
        </c:ser>
        <c:ser>
          <c:idx val="1"/>
          <c:order val="1"/>
          <c:tx>
            <c:v>Total Ejecución</c:v>
          </c:tx>
          <c:spPr>
            <a:solidFill>
              <a:schemeClr val="accent2"/>
            </a:solidFill>
            <a:ln>
              <a:noFill/>
            </a:ln>
            <a:effectLst/>
          </c:spPr>
          <c:invertIfNegative val="0"/>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Dashboard!$J$22:$J$27</c:f>
              <c:numCache>
                <c:formatCode>_-* #,##0_-;\-* #,##0_-;_-* "-"_-;_-@_-</c:formatCode>
                <c:ptCount val="6"/>
                <c:pt idx="0">
                  <c:v>1604683065</c:v>
                </c:pt>
                <c:pt idx="1">
                  <c:v>244796124</c:v>
                </c:pt>
                <c:pt idx="2">
                  <c:v>190360293</c:v>
                </c:pt>
                <c:pt idx="3">
                  <c:v>124484986</c:v>
                </c:pt>
                <c:pt idx="4">
                  <c:v>123233646</c:v>
                </c:pt>
                <c:pt idx="5">
                  <c:v>34155175</c:v>
                </c:pt>
              </c:numCache>
            </c:numRef>
          </c:val>
          <c:extLst>
            <c:ext xmlns:c16="http://schemas.microsoft.com/office/drawing/2014/chart" uri="{C3380CC4-5D6E-409C-BE32-E72D297353CC}">
              <c16:uniqueId val="{00000003-ACA2-4BE3-A1F8-F1ED85B2FDF2}"/>
            </c:ext>
          </c:extLst>
        </c:ser>
        <c:dLbls>
          <c:showLegendKey val="0"/>
          <c:showVal val="0"/>
          <c:showCatName val="0"/>
          <c:showSerName val="0"/>
          <c:showPercent val="0"/>
          <c:showBubbleSize val="0"/>
        </c:dLbls>
        <c:gapWidth val="219"/>
        <c:overlap val="-27"/>
        <c:axId val="766628655"/>
        <c:axId val="766627823"/>
      </c:barChart>
      <c:catAx>
        <c:axId val="7666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500000" spcFirstLastPara="1" vertOverflow="ellipsis"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s-CL"/>
          </a:p>
        </c:txPr>
        <c:crossAx val="766627823"/>
        <c:crosses val="autoZero"/>
        <c:auto val="1"/>
        <c:lblAlgn val="ctr"/>
        <c:lblOffset val="100"/>
        <c:noMultiLvlLbl val="0"/>
      </c:catAx>
      <c:valAx>
        <c:axId val="7666278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66628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Evolución Mensual de la Inversión (Enero a Diciembre)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v>Presupuesto Vigente</c:v>
          </c:tx>
          <c:spPr>
            <a:ln w="28575" cap="rnd">
              <a:solidFill>
                <a:schemeClr val="accent1"/>
              </a:solidFill>
              <a:round/>
            </a:ln>
            <a:effectLst/>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Dashboard!$C$34:$N$34</c:f>
              <c:numCache>
                <c:formatCode>_-* #,##0_-;\-* #,##0_-;_-* "-"_-;_-@_-</c:formatCode>
                <c:ptCount val="12"/>
                <c:pt idx="0">
                  <c:v>2942161253</c:v>
                </c:pt>
                <c:pt idx="1">
                  <c:v>2942161253</c:v>
                </c:pt>
                <c:pt idx="2">
                  <c:v>2872224418</c:v>
                </c:pt>
                <c:pt idx="3">
                  <c:v>2789233638</c:v>
                </c:pt>
                <c:pt idx="4">
                  <c:v>2788989293</c:v>
                </c:pt>
                <c:pt idx="5">
                  <c:v>2768911293</c:v>
                </c:pt>
                <c:pt idx="6">
                  <c:v>2768911293</c:v>
                </c:pt>
                <c:pt idx="7">
                  <c:v>2765121527</c:v>
                </c:pt>
                <c:pt idx="8">
                  <c:v>2763486063</c:v>
                </c:pt>
                <c:pt idx="9">
                  <c:v>2757523660</c:v>
                </c:pt>
                <c:pt idx="10">
                  <c:v>2716453128</c:v>
                </c:pt>
                <c:pt idx="11">
                  <c:v>2330868371</c:v>
                </c:pt>
              </c:numCache>
            </c:numRef>
          </c:val>
          <c:smooth val="0"/>
          <c:extLst>
            <c:ext xmlns:c16="http://schemas.microsoft.com/office/drawing/2014/chart" uri="{C3380CC4-5D6E-409C-BE32-E72D297353CC}">
              <c16:uniqueId val="{00000002-926C-41A3-AB50-8AC96E3CDA5B}"/>
            </c:ext>
          </c:extLst>
        </c:ser>
        <c:ser>
          <c:idx val="1"/>
          <c:order val="1"/>
          <c:tx>
            <c:v>Ejecución Acumulada</c:v>
          </c:tx>
          <c:spPr>
            <a:ln w="28575" cap="rnd">
              <a:solidFill>
                <a:schemeClr val="accent2"/>
              </a:solidFill>
              <a:round/>
            </a:ln>
            <a:effectLst/>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Dashboard!$C$35:$N$35</c:f>
              <c:numCache>
                <c:formatCode>_-* #,##0_-;\-* #,##0_-;_-* "-"_-;_-@_-</c:formatCode>
                <c:ptCount val="12"/>
                <c:pt idx="0">
                  <c:v>10076</c:v>
                </c:pt>
                <c:pt idx="1">
                  <c:v>158901130</c:v>
                </c:pt>
                <c:pt idx="2">
                  <c:v>342245752</c:v>
                </c:pt>
                <c:pt idx="3">
                  <c:v>535933925</c:v>
                </c:pt>
                <c:pt idx="4">
                  <c:v>735766967</c:v>
                </c:pt>
                <c:pt idx="5">
                  <c:v>1103900218</c:v>
                </c:pt>
                <c:pt idx="6">
                  <c:v>1232252883</c:v>
                </c:pt>
                <c:pt idx="7">
                  <c:v>1374995854</c:v>
                </c:pt>
                <c:pt idx="8">
                  <c:v>1567303306</c:v>
                </c:pt>
                <c:pt idx="9">
                  <c:v>1765889793</c:v>
                </c:pt>
                <c:pt idx="10">
                  <c:v>2025828192</c:v>
                </c:pt>
                <c:pt idx="11">
                  <c:v>2321713289</c:v>
                </c:pt>
              </c:numCache>
            </c:numRef>
          </c:val>
          <c:smooth val="0"/>
          <c:extLst>
            <c:ext xmlns:c16="http://schemas.microsoft.com/office/drawing/2014/chart" uri="{C3380CC4-5D6E-409C-BE32-E72D297353CC}">
              <c16:uniqueId val="{00000003-926C-41A3-AB50-8AC96E3CDA5B}"/>
            </c:ext>
          </c:extLst>
        </c:ser>
        <c:dLbls>
          <c:showLegendKey val="0"/>
          <c:showVal val="0"/>
          <c:showCatName val="0"/>
          <c:showSerName val="0"/>
          <c:showPercent val="0"/>
          <c:showBubbleSize val="0"/>
        </c:dLbls>
        <c:smooth val="0"/>
        <c:axId val="766629903"/>
        <c:axId val="766629487"/>
      </c:lineChart>
      <c:catAx>
        <c:axId val="7666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66629487"/>
        <c:crosses val="autoZero"/>
        <c:auto val="1"/>
        <c:lblAlgn val="ctr"/>
        <c:lblOffset val="100"/>
        <c:noMultiLvlLbl val="0"/>
      </c:catAx>
      <c:valAx>
        <c:axId val="76662948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6662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Composición de la Inversión Vigente por Subtítulo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Presupuesto Vigente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30-4599-91AF-F136EFCE3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30-4599-91AF-F136EFCE39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30-4599-91AF-F136EFCE3946}"/>
              </c:ext>
            </c:extLst>
          </c:dPt>
          <c:cat>
            <c:strRef>
              <c:f>Dashboard!$B$14:$B$16</c:f>
              <c:strCache>
                <c:ptCount val="3"/>
                <c:pt idx="0">
                  <c:v>Subtítulo 31 – Iniciativas de Inversión</c:v>
                </c:pt>
                <c:pt idx="1">
                  <c:v>Subtítulo 29 – Activos No Financieros</c:v>
                </c:pt>
                <c:pt idx="2">
                  <c:v>Subtítulo 33 – Transferencias de Capital</c:v>
                </c:pt>
              </c:strCache>
            </c:strRef>
          </c:cat>
          <c:val>
            <c:numRef>
              <c:f>Dashboard!$E$14:$E$16</c:f>
              <c:numCache>
                <c:formatCode>_-* #,##0_-;\-* #,##0_-;_-* "-"_-;_-@_-</c:formatCode>
                <c:ptCount val="3"/>
                <c:pt idx="0">
                  <c:v>2323820848</c:v>
                </c:pt>
                <c:pt idx="1">
                  <c:v>7047523</c:v>
                </c:pt>
                <c:pt idx="2">
                  <c:v>0</c:v>
                </c:pt>
              </c:numCache>
            </c:numRef>
          </c:val>
          <c:extLst>
            <c:ext xmlns:c16="http://schemas.microsoft.com/office/drawing/2014/chart" uri="{C3380CC4-5D6E-409C-BE32-E72D297353CC}">
              <c16:uniqueId val="{00000002-CE83-435D-B6FA-E57E6C8501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10</xdr:row>
      <xdr:rowOff>0</xdr:rowOff>
    </xdr:from>
    <xdr:to>
      <xdr:col>25</xdr:col>
      <xdr:colOff>322580</xdr:colOff>
      <xdr:row>26</xdr:row>
      <xdr:rowOff>73660</xdr:rowOff>
    </xdr:to>
    <xdr:graphicFrame macro="">
      <xdr:nvGraphicFramePr>
        <xdr:cNvPr id="2" name="Gráfico 1">
          <a:extLst>
            <a:ext uri="{FF2B5EF4-FFF2-40B4-BE49-F238E27FC236}">
              <a16:creationId xmlns:a16="http://schemas.microsoft.com/office/drawing/2014/main" id="{6C592924-3442-4C88-90A7-1DAAFAB47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28</xdr:row>
      <xdr:rowOff>63500</xdr:rowOff>
    </xdr:from>
    <xdr:to>
      <xdr:col>25</xdr:col>
      <xdr:colOff>322580</xdr:colOff>
      <xdr:row>43</xdr:row>
      <xdr:rowOff>66040</xdr:rowOff>
    </xdr:to>
    <xdr:graphicFrame macro="">
      <xdr:nvGraphicFramePr>
        <xdr:cNvPr id="3" name="Gráfico 2">
          <a:extLst>
            <a:ext uri="{FF2B5EF4-FFF2-40B4-BE49-F238E27FC236}">
              <a16:creationId xmlns:a16="http://schemas.microsoft.com/office/drawing/2014/main" id="{0665B9BF-7754-474D-8A2E-E275D9BAD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44</xdr:row>
      <xdr:rowOff>0</xdr:rowOff>
    </xdr:from>
    <xdr:to>
      <xdr:col>23</xdr:col>
      <xdr:colOff>307340</xdr:colOff>
      <xdr:row>59</xdr:row>
      <xdr:rowOff>177800</xdr:rowOff>
    </xdr:to>
    <xdr:graphicFrame macro="">
      <xdr:nvGraphicFramePr>
        <xdr:cNvPr id="4" name="Gráfico 3">
          <a:extLst>
            <a:ext uri="{FF2B5EF4-FFF2-40B4-BE49-F238E27FC236}">
              <a16:creationId xmlns:a16="http://schemas.microsoft.com/office/drawing/2014/main" id="{F49BFB8F-87D7-4896-8937-1DD6085F9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BFB9-4A91-4889-B884-8608295F1773}">
  <sheetPr>
    <tabColor rgb="FF1B365D"/>
  </sheetPr>
  <dimension ref="B2:O46"/>
  <sheetViews>
    <sheetView tabSelected="1" workbookViewId="0"/>
  </sheetViews>
  <sheetFormatPr baseColWidth="10" defaultColWidth="8.88671875" defaultRowHeight="14.4" x14ac:dyDescent="0.3"/>
  <cols>
    <col min="1" max="1" width="3" style="12" customWidth="1"/>
    <col min="2" max="2" width="32" style="12" customWidth="1"/>
    <col min="3" max="13" width="16" style="12" customWidth="1"/>
    <col min="14" max="15" width="18" style="12" customWidth="1"/>
    <col min="16" max="16" width="4" style="12" customWidth="1"/>
    <col min="17" max="32" width="11" style="12" customWidth="1"/>
    <col min="33" max="16384" width="8.88671875" style="12"/>
  </cols>
  <sheetData>
    <row r="2" spans="2:12" ht="21" x14ac:dyDescent="0.4">
      <c r="B2" s="13" t="s">
        <v>0</v>
      </c>
    </row>
    <row r="3" spans="2:12" ht="15" thickBot="1" x14ac:dyDescent="0.35">
      <c r="B3" s="14" t="s">
        <v>1</v>
      </c>
    </row>
    <row r="4" spans="2:12" ht="18" thickBot="1" x14ac:dyDescent="0.35">
      <c r="B4" s="15" t="s">
        <v>2</v>
      </c>
      <c r="C4" s="16">
        <v>2024</v>
      </c>
      <c r="D4" s="51" t="s">
        <v>3</v>
      </c>
      <c r="E4" s="52"/>
      <c r="F4" s="53" t="s">
        <v>4</v>
      </c>
      <c r="G4" s="52"/>
      <c r="H4" s="51" t="s">
        <v>5</v>
      </c>
      <c r="I4" s="52"/>
      <c r="J4" s="54" t="s">
        <v>6</v>
      </c>
      <c r="K4" s="52"/>
      <c r="L4" s="52"/>
    </row>
    <row r="6" spans="2:12" x14ac:dyDescent="0.3">
      <c r="B6" s="55" t="s">
        <v>7</v>
      </c>
      <c r="C6" s="56"/>
      <c r="D6" s="55" t="s">
        <v>8</v>
      </c>
      <c r="E6" s="56"/>
      <c r="F6" s="55" t="s">
        <v>9</v>
      </c>
      <c r="G6" s="56"/>
      <c r="H6" s="55" t="s">
        <v>10</v>
      </c>
      <c r="I6" s="56"/>
      <c r="J6" s="55" t="s">
        <v>11</v>
      </c>
      <c r="K6" s="57"/>
      <c r="L6" s="56"/>
    </row>
    <row r="7" spans="2:12" x14ac:dyDescent="0.3">
      <c r="B7" s="41">
        <f>D17</f>
        <v>2942161253</v>
      </c>
      <c r="C7" s="42"/>
      <c r="D7" s="41">
        <f>E17</f>
        <v>2330868371</v>
      </c>
      <c r="E7" s="42"/>
      <c r="F7" s="44">
        <f>F17</f>
        <v>2321713289</v>
      </c>
      <c r="G7" s="42"/>
      <c r="H7" s="45">
        <f>H17</f>
        <v>0.99607224409842066</v>
      </c>
      <c r="I7" s="42"/>
      <c r="J7" s="46">
        <f>G17</f>
        <v>9155082</v>
      </c>
      <c r="K7" s="47"/>
      <c r="L7" s="42"/>
    </row>
    <row r="8" spans="2:12" x14ac:dyDescent="0.3">
      <c r="B8" s="43"/>
      <c r="C8" s="42"/>
      <c r="D8" s="43"/>
      <c r="E8" s="42"/>
      <c r="F8" s="43"/>
      <c r="G8" s="42"/>
      <c r="H8" s="43"/>
      <c r="I8" s="42"/>
      <c r="J8" s="43"/>
      <c r="K8" s="47"/>
      <c r="L8" s="42"/>
    </row>
    <row r="9" spans="2:12" x14ac:dyDescent="0.3">
      <c r="B9" s="48" t="s">
        <v>12</v>
      </c>
      <c r="C9" s="49"/>
      <c r="D9" s="48" t="s">
        <v>13</v>
      </c>
      <c r="E9" s="49"/>
      <c r="F9" s="48" t="s">
        <v>14</v>
      </c>
      <c r="G9" s="49"/>
      <c r="H9" s="48" t="s">
        <v>15</v>
      </c>
      <c r="I9" s="49"/>
      <c r="J9" s="48" t="s">
        <v>16</v>
      </c>
      <c r="K9" s="50"/>
      <c r="L9" s="49"/>
    </row>
    <row r="11" spans="2:12" x14ac:dyDescent="0.3">
      <c r="B11" s="17" t="s">
        <v>17</v>
      </c>
    </row>
    <row r="13" spans="2:12" ht="27.6" x14ac:dyDescent="0.3">
      <c r="B13" s="18" t="s">
        <v>18</v>
      </c>
      <c r="C13" s="18" t="s">
        <v>19</v>
      </c>
      <c r="D13" s="18" t="s">
        <v>20</v>
      </c>
      <c r="E13" s="18" t="s">
        <v>21</v>
      </c>
      <c r="F13" s="18" t="s">
        <v>22</v>
      </c>
      <c r="G13" s="18" t="s">
        <v>23</v>
      </c>
      <c r="H13" s="18" t="s">
        <v>24</v>
      </c>
      <c r="I13" s="18" t="s">
        <v>25</v>
      </c>
    </row>
    <row r="14" spans="2:12" x14ac:dyDescent="0.3">
      <c r="B14" s="19" t="s">
        <v>26</v>
      </c>
      <c r="C14" s="20" t="s">
        <v>27</v>
      </c>
      <c r="D14" s="21">
        <f>INDEX(MOP_Mes_Corriente!$1:$161, 14, 3 + ($C$4 - 2021)*13 + 12)</f>
        <v>2933512941</v>
      </c>
      <c r="E14" s="21">
        <f>INDEX(MOP_Mes_Corriente!$1:$161, 26, 3 + ($C$4 - 2021)*13 + 12)</f>
        <v>2323820848</v>
      </c>
      <c r="F14" s="21">
        <f>INDEX(MOP_Mes_Corriente!$1:$161, 38, 3 + ($C$4 - 2021)*13 + 12)</f>
        <v>2314939413</v>
      </c>
      <c r="G14" s="21">
        <f>E14 - F14</f>
        <v>8881435</v>
      </c>
      <c r="H14" s="22">
        <f>IF(E14&gt;0, F14/E14, 0)</f>
        <v>0.99617808962870613</v>
      </c>
      <c r="I14" s="22">
        <f>IF($E$17&gt;0, E14/$E$17, 0)</f>
        <v>0.99697643887244636</v>
      </c>
    </row>
    <row r="15" spans="2:12" x14ac:dyDescent="0.3">
      <c r="B15" s="19" t="s">
        <v>28</v>
      </c>
      <c r="C15" s="20" t="s">
        <v>29</v>
      </c>
      <c r="D15" s="21">
        <f>INDEX(MOP_Mes_Corriente!$1:$161, 53, 3 + ($C$4 - 2021)*13 + 12)</f>
        <v>8648312</v>
      </c>
      <c r="E15" s="21">
        <f>INDEX(MOP_Mes_Corriente!$1:$161, 65, 3 + ($C$4 - 2021)*13 + 12)</f>
        <v>7047523</v>
      </c>
      <c r="F15" s="21">
        <f>INDEX(MOP_Mes_Corriente!$1:$161, 77, 3 + ($C$4 - 2021)*13 + 12)</f>
        <v>6773876</v>
      </c>
      <c r="G15" s="21">
        <f>E15 - F15</f>
        <v>273647</v>
      </c>
      <c r="H15" s="22">
        <f>IF(E15&gt;0, F15/E15, 0)</f>
        <v>0.96117118028561244</v>
      </c>
      <c r="I15" s="22">
        <f>IF($E$17&gt;0, E15/$E$17, 0)</f>
        <v>3.023561127553693E-3</v>
      </c>
    </row>
    <row r="16" spans="2:12" x14ac:dyDescent="0.3">
      <c r="B16" s="19" t="s">
        <v>30</v>
      </c>
      <c r="C16" s="20" t="s">
        <v>31</v>
      </c>
      <c r="D16" s="21">
        <f>INDEX(MOP_Mes_Corriente!$1:$161, 92, 3 + ($C$4 - 2021)*13 + 12)</f>
        <v>0</v>
      </c>
      <c r="E16" s="21">
        <f>INDEX(MOP_Mes_Corriente!$1:$161, 104, 3 + ($C$4 - 2021)*13 + 12)</f>
        <v>0</v>
      </c>
      <c r="F16" s="21">
        <f>INDEX(MOP_Mes_Corriente!$1:$161, 116, 3 + ($C$4 - 2021)*13 + 12)</f>
        <v>0</v>
      </c>
      <c r="G16" s="21">
        <f>E16 - F16</f>
        <v>0</v>
      </c>
      <c r="H16" s="22">
        <f>IF(E16&gt;0, F16/E16, 0)</f>
        <v>0</v>
      </c>
      <c r="I16" s="22">
        <f>IF($E$17&gt;0, E16/$E$17, 0)</f>
        <v>0</v>
      </c>
    </row>
    <row r="17" spans="2:15" ht="15" thickBot="1" x14ac:dyDescent="0.35">
      <c r="B17" s="23" t="s">
        <v>32</v>
      </c>
      <c r="C17" s="24" t="s">
        <v>33</v>
      </c>
      <c r="D17" s="25">
        <f>SUM(D14:D16)</f>
        <v>2942161253</v>
      </c>
      <c r="E17" s="25">
        <f>SUM(E14:E16)</f>
        <v>2330868371</v>
      </c>
      <c r="F17" s="25">
        <f>SUM(F14:F16)</f>
        <v>2321713289</v>
      </c>
      <c r="G17" s="25">
        <f>E17 - F17</f>
        <v>9155082</v>
      </c>
      <c r="H17" s="26">
        <f>IF(E17&gt;0, F17/E17, 0)</f>
        <v>0.99607224409842066</v>
      </c>
      <c r="I17" s="26">
        <f>SUM(I14:I16)</f>
        <v>1</v>
      </c>
    </row>
    <row r="19" spans="2:15" x14ac:dyDescent="0.3">
      <c r="B19" s="17" t="s">
        <v>34</v>
      </c>
    </row>
    <row r="21" spans="2:15" x14ac:dyDescent="0.3">
      <c r="B21" s="27" t="s">
        <v>35</v>
      </c>
      <c r="C21" s="27" t="s">
        <v>36</v>
      </c>
      <c r="D21" s="27" t="s">
        <v>37</v>
      </c>
      <c r="E21" s="27" t="s">
        <v>38</v>
      </c>
      <c r="F21" s="27" t="s">
        <v>39</v>
      </c>
      <c r="G21" s="27" t="s">
        <v>40</v>
      </c>
      <c r="H21" s="27" t="s">
        <v>41</v>
      </c>
      <c r="I21" s="27" t="s">
        <v>42</v>
      </c>
      <c r="J21" s="27" t="s">
        <v>43</v>
      </c>
      <c r="K21" s="27" t="s">
        <v>44</v>
      </c>
      <c r="L21" s="27" t="s">
        <v>24</v>
      </c>
      <c r="M21" s="27" t="s">
        <v>45</v>
      </c>
    </row>
    <row r="22" spans="2:15" x14ac:dyDescent="0.3">
      <c r="B22" s="19" t="s">
        <v>46</v>
      </c>
      <c r="C22" s="21">
        <f>INDEX(MOP_Mes_Corriente!$1:$161, 20, 3 + ($C$4 - 2021)*13 + 12)</f>
        <v>1608652526</v>
      </c>
      <c r="D22" s="21">
        <f>INDEX(MOP_Mes_Corriente!$1:$161, 32, 3 + ($C$4 - 2021)*13 + 12)</f>
        <v>1603559540</v>
      </c>
      <c r="E22" s="21">
        <f>INDEX(MOP_Mes_Corriente!$1:$161, 59, 3 + ($C$4 - 2021)*13 + 12)</f>
        <v>1135861</v>
      </c>
      <c r="F22" s="21">
        <f>INDEX(MOP_Mes_Corriente!$1:$161, 71, 3 + ($C$4 - 2021)*13 + 12)</f>
        <v>1123525</v>
      </c>
      <c r="G22" s="21">
        <f>INDEX(MOP_Mes_Corriente!$1:$161, 98, 3 + ($C$4 - 2021)*13 + 12)</f>
        <v>0</v>
      </c>
      <c r="H22" s="21">
        <f>INDEX(MOP_Mes_Corriente!$1:$161, 110, 3 + ($C$4 - 2021)*13 + 12)</f>
        <v>0</v>
      </c>
      <c r="I22" s="21">
        <f t="shared" ref="I22:J27" si="0">C22 + E22 + G22</f>
        <v>1609788387</v>
      </c>
      <c r="J22" s="21">
        <f t="shared" si="0"/>
        <v>1604683065</v>
      </c>
      <c r="K22" s="21">
        <f t="shared" ref="K22:K27" si="1">I22 - J22</f>
        <v>5105322</v>
      </c>
      <c r="L22" s="22">
        <f t="shared" ref="L22:L28" si="2">IF(I22&gt;0, J22/I22, 0)</f>
        <v>0.99682857570521166</v>
      </c>
      <c r="M22" s="22">
        <f t="shared" ref="M22:M27" si="3">IF($I$28&gt;0, I22/$I$28, 0)</f>
        <v>0.69063890824060614</v>
      </c>
    </row>
    <row r="23" spans="2:15" x14ac:dyDescent="0.3">
      <c r="B23" s="28" t="s">
        <v>47</v>
      </c>
      <c r="C23" s="29">
        <f>INDEX(MOP_Mes_Corriente!$1:$161, 21, 3 + ($C$4 - 2021)*13 + 12)</f>
        <v>244313644</v>
      </c>
      <c r="D23" s="29">
        <f>INDEX(MOP_Mes_Corriente!$1:$161, 33, 3 + ($C$4 - 2021)*13 + 12)</f>
        <v>243896208</v>
      </c>
      <c r="E23" s="29">
        <f>INDEX(MOP_Mes_Corriente!$1:$161, 60, 3 + ($C$4 - 2021)*13 + 12)</f>
        <v>913626</v>
      </c>
      <c r="F23" s="29">
        <f>INDEX(MOP_Mes_Corriente!$1:$161, 72, 3 + ($C$4 - 2021)*13 + 12)</f>
        <v>899916</v>
      </c>
      <c r="G23" s="29">
        <f>INDEX(MOP_Mes_Corriente!$1:$161, 99, 3 + ($C$4 - 2021)*13 + 12)</f>
        <v>0</v>
      </c>
      <c r="H23" s="29">
        <f>INDEX(MOP_Mes_Corriente!$1:$161, 111, 3 + ($C$4 - 2021)*13 + 12)</f>
        <v>0</v>
      </c>
      <c r="I23" s="29">
        <f t="shared" si="0"/>
        <v>245227270</v>
      </c>
      <c r="J23" s="29">
        <f t="shared" si="0"/>
        <v>244796124</v>
      </c>
      <c r="K23" s="29">
        <f t="shared" si="1"/>
        <v>431146</v>
      </c>
      <c r="L23" s="30">
        <f t="shared" si="2"/>
        <v>0.99824185132428378</v>
      </c>
      <c r="M23" s="30">
        <f t="shared" si="3"/>
        <v>0.10520854504314693</v>
      </c>
    </row>
    <row r="24" spans="2:15" x14ac:dyDescent="0.3">
      <c r="B24" s="19" t="s">
        <v>48</v>
      </c>
      <c r="C24" s="21">
        <f>INDEX(MOP_Mes_Corriente!$1:$161, 22, 3 + ($C$4 - 2021)*13 + 12)</f>
        <v>192186387</v>
      </c>
      <c r="D24" s="21">
        <f>INDEX(MOP_Mes_Corriente!$1:$161, 34, 3 + ($C$4 - 2021)*13 + 12)</f>
        <v>189747396</v>
      </c>
      <c r="E24" s="21">
        <f>INDEX(MOP_Mes_Corriente!$1:$161, 61, 3 + ($C$4 - 2021)*13 + 12)</f>
        <v>636104</v>
      </c>
      <c r="F24" s="21">
        <f>INDEX(MOP_Mes_Corriente!$1:$161, 73, 3 + ($C$4 - 2021)*13 + 12)</f>
        <v>612897</v>
      </c>
      <c r="G24" s="21">
        <f>INDEX(MOP_Mes_Corriente!$1:$161, 100, 3 + ($C$4 - 2021)*13 + 12)</f>
        <v>0</v>
      </c>
      <c r="H24" s="21">
        <f>INDEX(MOP_Mes_Corriente!$1:$161, 112, 3 + ($C$4 - 2021)*13 + 12)</f>
        <v>0</v>
      </c>
      <c r="I24" s="21">
        <f t="shared" si="0"/>
        <v>192822491</v>
      </c>
      <c r="J24" s="21">
        <f t="shared" si="0"/>
        <v>190360293</v>
      </c>
      <c r="K24" s="21">
        <f t="shared" si="1"/>
        <v>2462198</v>
      </c>
      <c r="L24" s="22">
        <f t="shared" si="2"/>
        <v>0.98723075307641373</v>
      </c>
      <c r="M24" s="22">
        <f t="shared" si="3"/>
        <v>8.2725602783513E-2</v>
      </c>
    </row>
    <row r="25" spans="2:15" x14ac:dyDescent="0.3">
      <c r="B25" s="28" t="s">
        <v>49</v>
      </c>
      <c r="C25" s="29">
        <f>INDEX(MOP_Mes_Corriente!$1:$161, 23, 3 + ($C$4 - 2021)*13 + 12)</f>
        <v>123682417</v>
      </c>
      <c r="D25" s="29">
        <f>INDEX(MOP_Mes_Corriente!$1:$161, 35, 3 + ($C$4 - 2021)*13 + 12)</f>
        <v>122976500</v>
      </c>
      <c r="E25" s="29">
        <f>INDEX(MOP_Mes_Corriente!$1:$161, 62, 3 + ($C$4 - 2021)*13 + 12)</f>
        <v>1731272</v>
      </c>
      <c r="F25" s="29">
        <f>INDEX(MOP_Mes_Corriente!$1:$161, 74, 3 + ($C$4 - 2021)*13 + 12)</f>
        <v>1508486</v>
      </c>
      <c r="G25" s="29">
        <f>INDEX(MOP_Mes_Corriente!$1:$161, 101, 3 + ($C$4 - 2021)*13 + 12)</f>
        <v>0</v>
      </c>
      <c r="H25" s="29">
        <f>INDEX(MOP_Mes_Corriente!$1:$161, 113, 3 + ($C$4 - 2021)*13 + 12)</f>
        <v>0</v>
      </c>
      <c r="I25" s="29">
        <f t="shared" si="0"/>
        <v>125413689</v>
      </c>
      <c r="J25" s="29">
        <f t="shared" si="0"/>
        <v>124484986</v>
      </c>
      <c r="K25" s="29">
        <f t="shared" si="1"/>
        <v>928703</v>
      </c>
      <c r="L25" s="30">
        <f t="shared" si="2"/>
        <v>0.99259488332250556</v>
      </c>
      <c r="M25" s="30">
        <f t="shared" si="3"/>
        <v>5.3805564724444067E-2</v>
      </c>
    </row>
    <row r="26" spans="2:15" x14ac:dyDescent="0.3">
      <c r="B26" s="19" t="s">
        <v>50</v>
      </c>
      <c r="C26" s="21">
        <f>INDEX(MOP_Mes_Corriente!$1:$161, 24, 3 + ($C$4 - 2021)*13 + 12)</f>
        <v>121300022</v>
      </c>
      <c r="D26" s="21">
        <f>INDEX(MOP_Mes_Corriente!$1:$161, 36, 3 + ($C$4 - 2021)*13 + 12)</f>
        <v>121236421</v>
      </c>
      <c r="E26" s="21">
        <f>INDEX(MOP_Mes_Corriente!$1:$161, 63, 3 + ($C$4 - 2021)*13 + 12)</f>
        <v>1998403</v>
      </c>
      <c r="F26" s="21">
        <f>INDEX(MOP_Mes_Corriente!$1:$161, 75, 3 + ($C$4 - 2021)*13 + 12)</f>
        <v>1997225</v>
      </c>
      <c r="G26" s="21">
        <f>INDEX(MOP_Mes_Corriente!$1:$161, 102, 3 + ($C$4 - 2021)*13 + 12)</f>
        <v>0</v>
      </c>
      <c r="H26" s="21">
        <f>INDEX(MOP_Mes_Corriente!$1:$161, 114, 3 + ($C$4 - 2021)*13 + 12)</f>
        <v>0</v>
      </c>
      <c r="I26" s="21">
        <f t="shared" si="0"/>
        <v>123298425</v>
      </c>
      <c r="J26" s="21">
        <f t="shared" si="0"/>
        <v>123233646</v>
      </c>
      <c r="K26" s="21">
        <f t="shared" si="1"/>
        <v>64779</v>
      </c>
      <c r="L26" s="22">
        <f t="shared" si="2"/>
        <v>0.99947461615993882</v>
      </c>
      <c r="M26" s="22">
        <f t="shared" si="3"/>
        <v>5.289806431544735E-2</v>
      </c>
    </row>
    <row r="27" spans="2:15" x14ac:dyDescent="0.3">
      <c r="B27" s="28" t="s">
        <v>51</v>
      </c>
      <c r="C27" s="29">
        <f>INDEX(MOP_Mes_Corriente!$1:$161, 25, 3 + ($C$4 - 2021)*13 + 12)</f>
        <v>33685852</v>
      </c>
      <c r="D27" s="29">
        <f>INDEX(MOP_Mes_Corriente!$1:$161, 37, 3 + ($C$4 - 2021)*13 + 12)</f>
        <v>33523348</v>
      </c>
      <c r="E27" s="29">
        <f>INDEX(MOP_Mes_Corriente!$1:$161, 64, 3 + ($C$4 - 2021)*13 + 12)</f>
        <v>632257</v>
      </c>
      <c r="F27" s="29">
        <f>INDEX(MOP_Mes_Corriente!$1:$161, 76, 3 + ($C$4 - 2021)*13 + 12)</f>
        <v>631827</v>
      </c>
      <c r="G27" s="29">
        <f>INDEX(MOP_Mes_Corriente!$1:$161, 103, 3 + ($C$4 - 2021)*13 + 12)</f>
        <v>0</v>
      </c>
      <c r="H27" s="29">
        <f>INDEX(MOP_Mes_Corriente!$1:$161, 115, 3 + ($C$4 - 2021)*13 + 12)</f>
        <v>0</v>
      </c>
      <c r="I27" s="29">
        <f t="shared" si="0"/>
        <v>34318109</v>
      </c>
      <c r="J27" s="29">
        <f t="shared" si="0"/>
        <v>34155175</v>
      </c>
      <c r="K27" s="29">
        <f t="shared" si="1"/>
        <v>162934</v>
      </c>
      <c r="L27" s="30">
        <f t="shared" si="2"/>
        <v>0.99525224423058978</v>
      </c>
      <c r="M27" s="30">
        <f t="shared" si="3"/>
        <v>1.472331489284257E-2</v>
      </c>
    </row>
    <row r="28" spans="2:15" ht="15" thickBot="1" x14ac:dyDescent="0.35">
      <c r="B28" s="23" t="s">
        <v>52</v>
      </c>
      <c r="C28" s="25">
        <f t="shared" ref="C28:K28" si="4">SUM(C22:C27)</f>
        <v>2323820848</v>
      </c>
      <c r="D28" s="25">
        <f t="shared" si="4"/>
        <v>2314939413</v>
      </c>
      <c r="E28" s="25">
        <f t="shared" si="4"/>
        <v>7047523</v>
      </c>
      <c r="F28" s="25">
        <f t="shared" si="4"/>
        <v>6773876</v>
      </c>
      <c r="G28" s="25">
        <f t="shared" si="4"/>
        <v>0</v>
      </c>
      <c r="H28" s="25">
        <f t="shared" si="4"/>
        <v>0</v>
      </c>
      <c r="I28" s="25">
        <f t="shared" si="4"/>
        <v>2330868371</v>
      </c>
      <c r="J28" s="25">
        <f t="shared" si="4"/>
        <v>2321713289</v>
      </c>
      <c r="K28" s="25">
        <f t="shared" si="4"/>
        <v>9155082</v>
      </c>
      <c r="L28" s="26">
        <f t="shared" si="2"/>
        <v>0.99607224409842066</v>
      </c>
      <c r="M28" s="26">
        <f>SUM(M22:M27)</f>
        <v>1</v>
      </c>
    </row>
    <row r="30" spans="2:15" x14ac:dyDescent="0.3">
      <c r="B30" s="17" t="s">
        <v>53</v>
      </c>
    </row>
    <row r="32" spans="2:15" x14ac:dyDescent="0.3">
      <c r="B32" s="31" t="s">
        <v>54</v>
      </c>
      <c r="C32" s="31" t="s">
        <v>55</v>
      </c>
      <c r="D32" s="31" t="s">
        <v>56</v>
      </c>
      <c r="E32" s="31" t="s">
        <v>57</v>
      </c>
      <c r="F32" s="31" t="s">
        <v>58</v>
      </c>
      <c r="G32" s="31" t="s">
        <v>59</v>
      </c>
      <c r="H32" s="31" t="s">
        <v>60</v>
      </c>
      <c r="I32" s="31" t="s">
        <v>61</v>
      </c>
      <c r="J32" s="31" t="s">
        <v>62</v>
      </c>
      <c r="K32" s="31" t="s">
        <v>63</v>
      </c>
      <c r="L32" s="31" t="s">
        <v>64</v>
      </c>
      <c r="M32" s="31" t="s">
        <v>65</v>
      </c>
      <c r="N32" s="31" t="s">
        <v>66</v>
      </c>
      <c r="O32" s="31" t="s">
        <v>67</v>
      </c>
    </row>
    <row r="33" spans="2:15" x14ac:dyDescent="0.3">
      <c r="B33" s="19" t="s">
        <v>20</v>
      </c>
      <c r="C33" s="21">
        <f>INDEX(MOP_Mes_Corriente!$1:$161, 14, 3 + ($C$4 - 2021)*13 + 0) + INDEX(MOP_Mes_Corriente!$1:$161, 53, 3 + ($C$4 - 2021)*13 + 0) + INDEX(MOP_Mes_Corriente!$1:$161, 92, 3 + ($C$4 - 2021)*13 + 0)</f>
        <v>2942161253</v>
      </c>
      <c r="D33" s="21">
        <f>INDEX(MOP_Mes_Corriente!$1:$161, 14, 3 + ($C$4 - 2021)*13 + 1) + INDEX(MOP_Mes_Corriente!$1:$161, 53, 3 + ($C$4 - 2021)*13 + 1) + INDEX(MOP_Mes_Corriente!$1:$161, 92, 3 + ($C$4 - 2021)*13 + 1)</f>
        <v>2942161253</v>
      </c>
      <c r="E33" s="21">
        <f>INDEX(MOP_Mes_Corriente!$1:$161, 14, 3 + ($C$4 - 2021)*13 + 2) + INDEX(MOP_Mes_Corriente!$1:$161, 53, 3 + ($C$4 - 2021)*13 + 2) + INDEX(MOP_Mes_Corriente!$1:$161, 92, 3 + ($C$4 - 2021)*13 + 2)</f>
        <v>2942161253</v>
      </c>
      <c r="F33" s="21">
        <f>INDEX(MOP_Mes_Corriente!$1:$161, 14, 3 + ($C$4 - 2021)*13 + 3) + INDEX(MOP_Mes_Corriente!$1:$161, 53, 3 + ($C$4 - 2021)*13 + 3) + INDEX(MOP_Mes_Corriente!$1:$161, 92, 3 + ($C$4 - 2021)*13 + 3)</f>
        <v>2942161253</v>
      </c>
      <c r="G33" s="21">
        <f>INDEX(MOP_Mes_Corriente!$1:$161, 14, 3 + ($C$4 - 2021)*13 + 4) + INDEX(MOP_Mes_Corriente!$1:$161, 53, 3 + ($C$4 - 2021)*13 + 4) + INDEX(MOP_Mes_Corriente!$1:$161, 92, 3 + ($C$4 - 2021)*13 + 4)</f>
        <v>2942161253</v>
      </c>
      <c r="H33" s="21">
        <f>INDEX(MOP_Mes_Corriente!$1:$161, 14, 3 + ($C$4 - 2021)*13 + 5) + INDEX(MOP_Mes_Corriente!$1:$161, 53, 3 + ($C$4 - 2021)*13 + 5) + INDEX(MOP_Mes_Corriente!$1:$161, 92, 3 + ($C$4 - 2021)*13 + 5)</f>
        <v>2942161253</v>
      </c>
      <c r="I33" s="21">
        <f>INDEX(MOP_Mes_Corriente!$1:$161, 14, 3 + ($C$4 - 2021)*13 + 6) + INDEX(MOP_Mes_Corriente!$1:$161, 53, 3 + ($C$4 - 2021)*13 + 6) + INDEX(MOP_Mes_Corriente!$1:$161, 92, 3 + ($C$4 - 2021)*13 + 6)</f>
        <v>2942161253</v>
      </c>
      <c r="J33" s="21">
        <f>INDEX(MOP_Mes_Corriente!$1:$161, 14, 3 + ($C$4 - 2021)*13 + 7) + INDEX(MOP_Mes_Corriente!$1:$161, 53, 3 + ($C$4 - 2021)*13 + 7) + INDEX(MOP_Mes_Corriente!$1:$161, 92, 3 + ($C$4 - 2021)*13 + 7)</f>
        <v>2942161253</v>
      </c>
      <c r="K33" s="21">
        <f>INDEX(MOP_Mes_Corriente!$1:$161, 14, 3 + ($C$4 - 2021)*13 + 8) + INDEX(MOP_Mes_Corriente!$1:$161, 53, 3 + ($C$4 - 2021)*13 + 8) + INDEX(MOP_Mes_Corriente!$1:$161, 92, 3 + ($C$4 - 2021)*13 + 8)</f>
        <v>2942161253</v>
      </c>
      <c r="L33" s="21">
        <f>INDEX(MOP_Mes_Corriente!$1:$161, 14, 3 + ($C$4 - 2021)*13 + 9) + INDEX(MOP_Mes_Corriente!$1:$161, 53, 3 + ($C$4 - 2021)*13 + 9) + INDEX(MOP_Mes_Corriente!$1:$161, 92, 3 + ($C$4 - 2021)*13 + 9)</f>
        <v>2942161253</v>
      </c>
      <c r="M33" s="21">
        <f>INDEX(MOP_Mes_Corriente!$1:$161, 14, 3 + ($C$4 - 2021)*13 + 10) + INDEX(MOP_Mes_Corriente!$1:$161, 53, 3 + ($C$4 - 2021)*13 + 10) + INDEX(MOP_Mes_Corriente!$1:$161, 92, 3 + ($C$4 - 2021)*13 + 10)</f>
        <v>2942161253</v>
      </c>
      <c r="N33" s="21">
        <f>INDEX(MOP_Mes_Corriente!$1:$161, 14, 3 + ($C$4 - 2021)*13 + 11) + INDEX(MOP_Mes_Corriente!$1:$161, 53, 3 + ($C$4 - 2021)*13 + 11) + INDEX(MOP_Mes_Corriente!$1:$161, 92, 3 + ($C$4 - 2021)*13 + 11)</f>
        <v>2942161253</v>
      </c>
      <c r="O33" s="32">
        <f>INDEX(MOP_Mes_Corriente!$1:$161, 14, 3 + ($C$4 - 2021)*13 + 12) + INDEX(MOP_Mes_Corriente!$1:$161, 53, 3 + ($C$4 - 2021)*13 + 12) + INDEX(MOP_Mes_Corriente!$1:$161, 92, 3 + ($C$4 - 2021)*13 + 12)</f>
        <v>2942161253</v>
      </c>
    </row>
    <row r="34" spans="2:15" x14ac:dyDescent="0.3">
      <c r="B34" s="19" t="s">
        <v>21</v>
      </c>
      <c r="C34" s="21">
        <f>INDEX(MOP_Mes_Corriente!$1:$161, 26, 3 + ($C$4 - 2021)*13 + 0) + INDEX(MOP_Mes_Corriente!$1:$161, 65, 3 + ($C$4 - 2021)*13 + 0) + INDEX(MOP_Mes_Corriente!$1:$161, 104, 3 + ($C$4 - 2021)*13 + 0)</f>
        <v>2942161253</v>
      </c>
      <c r="D34" s="21">
        <f>INDEX(MOP_Mes_Corriente!$1:$161, 26, 3 + ($C$4 - 2021)*13 + 1) + INDEX(MOP_Mes_Corriente!$1:$161, 65, 3 + ($C$4 - 2021)*13 + 1) + INDEX(MOP_Mes_Corriente!$1:$161, 104, 3 + ($C$4 - 2021)*13 + 1)</f>
        <v>2942161253</v>
      </c>
      <c r="E34" s="21">
        <f>INDEX(MOP_Mes_Corriente!$1:$161, 26, 3 + ($C$4 - 2021)*13 + 2) + INDEX(MOP_Mes_Corriente!$1:$161, 65, 3 + ($C$4 - 2021)*13 + 2) + INDEX(MOP_Mes_Corriente!$1:$161, 104, 3 + ($C$4 - 2021)*13 + 2)</f>
        <v>2872224418</v>
      </c>
      <c r="F34" s="21">
        <f>INDEX(MOP_Mes_Corriente!$1:$161, 26, 3 + ($C$4 - 2021)*13 + 3) + INDEX(MOP_Mes_Corriente!$1:$161, 65, 3 + ($C$4 - 2021)*13 + 3) + INDEX(MOP_Mes_Corriente!$1:$161, 104, 3 + ($C$4 - 2021)*13 + 3)</f>
        <v>2789233638</v>
      </c>
      <c r="G34" s="21">
        <f>INDEX(MOP_Mes_Corriente!$1:$161, 26, 3 + ($C$4 - 2021)*13 + 4) + INDEX(MOP_Mes_Corriente!$1:$161, 65, 3 + ($C$4 - 2021)*13 + 4) + INDEX(MOP_Mes_Corriente!$1:$161, 104, 3 + ($C$4 - 2021)*13 + 4)</f>
        <v>2788989293</v>
      </c>
      <c r="H34" s="21">
        <f>INDEX(MOP_Mes_Corriente!$1:$161, 26, 3 + ($C$4 - 2021)*13 + 5) + INDEX(MOP_Mes_Corriente!$1:$161, 65, 3 + ($C$4 - 2021)*13 + 5) + INDEX(MOP_Mes_Corriente!$1:$161, 104, 3 + ($C$4 - 2021)*13 + 5)</f>
        <v>2768911293</v>
      </c>
      <c r="I34" s="21">
        <f>INDEX(MOP_Mes_Corriente!$1:$161, 26, 3 + ($C$4 - 2021)*13 + 6) + INDEX(MOP_Mes_Corriente!$1:$161, 65, 3 + ($C$4 - 2021)*13 + 6) + INDEX(MOP_Mes_Corriente!$1:$161, 104, 3 + ($C$4 - 2021)*13 + 6)</f>
        <v>2768911293</v>
      </c>
      <c r="J34" s="21">
        <f>INDEX(MOP_Mes_Corriente!$1:$161, 26, 3 + ($C$4 - 2021)*13 + 7) + INDEX(MOP_Mes_Corriente!$1:$161, 65, 3 + ($C$4 - 2021)*13 + 7) + INDEX(MOP_Mes_Corriente!$1:$161, 104, 3 + ($C$4 - 2021)*13 + 7)</f>
        <v>2765121527</v>
      </c>
      <c r="K34" s="21">
        <f>INDEX(MOP_Mes_Corriente!$1:$161, 26, 3 + ($C$4 - 2021)*13 + 8) + INDEX(MOP_Mes_Corriente!$1:$161, 65, 3 + ($C$4 - 2021)*13 + 8) + INDEX(MOP_Mes_Corriente!$1:$161, 104, 3 + ($C$4 - 2021)*13 + 8)</f>
        <v>2763486063</v>
      </c>
      <c r="L34" s="21">
        <f>INDEX(MOP_Mes_Corriente!$1:$161, 26, 3 + ($C$4 - 2021)*13 + 9) + INDEX(MOP_Mes_Corriente!$1:$161, 65, 3 + ($C$4 - 2021)*13 + 9) + INDEX(MOP_Mes_Corriente!$1:$161, 104, 3 + ($C$4 - 2021)*13 + 9)</f>
        <v>2757523660</v>
      </c>
      <c r="M34" s="21">
        <f>INDEX(MOP_Mes_Corriente!$1:$161, 26, 3 + ($C$4 - 2021)*13 + 10) + INDEX(MOP_Mes_Corriente!$1:$161, 65, 3 + ($C$4 - 2021)*13 + 10) + INDEX(MOP_Mes_Corriente!$1:$161, 104, 3 + ($C$4 - 2021)*13 + 10)</f>
        <v>2716453128</v>
      </c>
      <c r="N34" s="21">
        <f>INDEX(MOP_Mes_Corriente!$1:$161, 26, 3 + ($C$4 - 2021)*13 + 11) + INDEX(MOP_Mes_Corriente!$1:$161, 65, 3 + ($C$4 - 2021)*13 + 11) + INDEX(MOP_Mes_Corriente!$1:$161, 104, 3 + ($C$4 - 2021)*13 + 11)</f>
        <v>2330868371</v>
      </c>
      <c r="O34" s="32">
        <f>INDEX(MOP_Mes_Corriente!$1:$161, 26, 3 + ($C$4 - 2021)*13 + 12) + INDEX(MOP_Mes_Corriente!$1:$161, 65, 3 + ($C$4 - 2021)*13 + 12) + INDEX(MOP_Mes_Corriente!$1:$161, 104, 3 + ($C$4 - 2021)*13 + 12)</f>
        <v>2330868371</v>
      </c>
    </row>
    <row r="35" spans="2:15" x14ac:dyDescent="0.3">
      <c r="B35" s="33" t="s">
        <v>22</v>
      </c>
      <c r="C35" s="34">
        <f>INDEX(MOP_Mes_Corriente!$1:$161, 38, 3 + ($C$4 - 2021)*13 + 0) + INDEX(MOP_Mes_Corriente!$1:$161, 77, 3 + ($C$4 - 2021)*13 + 0) + INDEX(MOP_Mes_Corriente!$1:$161, 116, 3 + ($C$4 - 2021)*13 + 0)</f>
        <v>10076</v>
      </c>
      <c r="D35" s="34">
        <f>INDEX(MOP_Mes_Corriente!$1:$161, 38, 3 + ($C$4 - 2021)*13 + 1) + INDEX(MOP_Mes_Corriente!$1:$161, 77, 3 + ($C$4 - 2021)*13 + 1) + INDEX(MOP_Mes_Corriente!$1:$161, 116, 3 + ($C$4 - 2021)*13 + 1)</f>
        <v>158901130</v>
      </c>
      <c r="E35" s="34">
        <f>INDEX(MOP_Mes_Corriente!$1:$161, 38, 3 + ($C$4 - 2021)*13 + 2) + INDEX(MOP_Mes_Corriente!$1:$161, 77, 3 + ($C$4 - 2021)*13 + 2) + INDEX(MOP_Mes_Corriente!$1:$161, 116, 3 + ($C$4 - 2021)*13 + 2)</f>
        <v>342245752</v>
      </c>
      <c r="F35" s="34">
        <f>INDEX(MOP_Mes_Corriente!$1:$161, 38, 3 + ($C$4 - 2021)*13 + 3) + INDEX(MOP_Mes_Corriente!$1:$161, 77, 3 + ($C$4 - 2021)*13 + 3) + INDEX(MOP_Mes_Corriente!$1:$161, 116, 3 + ($C$4 - 2021)*13 + 3)</f>
        <v>535933925</v>
      </c>
      <c r="G35" s="34">
        <f>INDEX(MOP_Mes_Corriente!$1:$161, 38, 3 + ($C$4 - 2021)*13 + 4) + INDEX(MOP_Mes_Corriente!$1:$161, 77, 3 + ($C$4 - 2021)*13 + 4) + INDEX(MOP_Mes_Corriente!$1:$161, 116, 3 + ($C$4 - 2021)*13 + 4)</f>
        <v>735766967</v>
      </c>
      <c r="H35" s="34">
        <f>INDEX(MOP_Mes_Corriente!$1:$161, 38, 3 + ($C$4 - 2021)*13 + 5) + INDEX(MOP_Mes_Corriente!$1:$161, 77, 3 + ($C$4 - 2021)*13 + 5) + INDEX(MOP_Mes_Corriente!$1:$161, 116, 3 + ($C$4 - 2021)*13 + 5)</f>
        <v>1103900218</v>
      </c>
      <c r="I35" s="34">
        <f>INDEX(MOP_Mes_Corriente!$1:$161, 38, 3 + ($C$4 - 2021)*13 + 6) + INDEX(MOP_Mes_Corriente!$1:$161, 77, 3 + ($C$4 - 2021)*13 + 6) + INDEX(MOP_Mes_Corriente!$1:$161, 116, 3 + ($C$4 - 2021)*13 + 6)</f>
        <v>1232252883</v>
      </c>
      <c r="J35" s="34">
        <f>INDEX(MOP_Mes_Corriente!$1:$161, 38, 3 + ($C$4 - 2021)*13 + 7) + INDEX(MOP_Mes_Corriente!$1:$161, 77, 3 + ($C$4 - 2021)*13 + 7) + INDEX(MOP_Mes_Corriente!$1:$161, 116, 3 + ($C$4 - 2021)*13 + 7)</f>
        <v>1374995854</v>
      </c>
      <c r="K35" s="34">
        <f>INDEX(MOP_Mes_Corriente!$1:$161, 38, 3 + ($C$4 - 2021)*13 + 8) + INDEX(MOP_Mes_Corriente!$1:$161, 77, 3 + ($C$4 - 2021)*13 + 8) + INDEX(MOP_Mes_Corriente!$1:$161, 116, 3 + ($C$4 - 2021)*13 + 8)</f>
        <v>1567303306</v>
      </c>
      <c r="L35" s="34">
        <f>INDEX(MOP_Mes_Corriente!$1:$161, 38, 3 + ($C$4 - 2021)*13 + 9) + INDEX(MOP_Mes_Corriente!$1:$161, 77, 3 + ($C$4 - 2021)*13 + 9) + INDEX(MOP_Mes_Corriente!$1:$161, 116, 3 + ($C$4 - 2021)*13 + 9)</f>
        <v>1765889793</v>
      </c>
      <c r="M35" s="34">
        <f>INDEX(MOP_Mes_Corriente!$1:$161, 38, 3 + ($C$4 - 2021)*13 + 10) + INDEX(MOP_Mes_Corriente!$1:$161, 77, 3 + ($C$4 - 2021)*13 + 10) + INDEX(MOP_Mes_Corriente!$1:$161, 116, 3 + ($C$4 - 2021)*13 + 10)</f>
        <v>2025828192</v>
      </c>
      <c r="N35" s="34">
        <f>INDEX(MOP_Mes_Corriente!$1:$161, 38, 3 + ($C$4 - 2021)*13 + 11) + INDEX(MOP_Mes_Corriente!$1:$161, 77, 3 + ($C$4 - 2021)*13 + 11) + INDEX(MOP_Mes_Corriente!$1:$161, 116, 3 + ($C$4 - 2021)*13 + 11)</f>
        <v>2321713289</v>
      </c>
      <c r="O35" s="35">
        <f>INDEX(MOP_Mes_Corriente!$1:$161, 38, 3 + ($C$4 - 2021)*13 + 12) + INDEX(MOP_Mes_Corriente!$1:$161, 77, 3 + ($C$4 - 2021)*13 + 12) + INDEX(MOP_Mes_Corriente!$1:$161, 116, 3 + ($C$4 - 2021)*13 + 12)</f>
        <v>2321713289</v>
      </c>
    </row>
    <row r="36" spans="2:15" ht="15" thickBot="1" x14ac:dyDescent="0.35">
      <c r="B36" s="36" t="s">
        <v>68</v>
      </c>
      <c r="C36" s="37">
        <f t="shared" ref="C36:O36" si="5">IF(C34&gt;0, C35/C34, 0)</f>
        <v>3.4246933235647504E-6</v>
      </c>
      <c r="D36" s="37">
        <f t="shared" si="5"/>
        <v>5.4008300815590951E-2</v>
      </c>
      <c r="E36" s="37">
        <f t="shared" si="5"/>
        <v>0.11915703726184254</v>
      </c>
      <c r="F36" s="37">
        <f t="shared" si="5"/>
        <v>0.19214379093186598</v>
      </c>
      <c r="G36" s="37">
        <f t="shared" si="5"/>
        <v>0.26381132722405182</v>
      </c>
      <c r="H36" s="37">
        <f t="shared" si="5"/>
        <v>0.39867662817177868</v>
      </c>
      <c r="I36" s="37">
        <f t="shared" si="5"/>
        <v>0.4450315494451631</v>
      </c>
      <c r="J36" s="37">
        <f t="shared" si="5"/>
        <v>0.49726416744214225</v>
      </c>
      <c r="K36" s="37">
        <f t="shared" si="5"/>
        <v>0.56714717218387511</v>
      </c>
      <c r="L36" s="37">
        <f t="shared" si="5"/>
        <v>0.6403897158220575</v>
      </c>
      <c r="M36" s="37">
        <f t="shared" si="5"/>
        <v>0.74576224824888637</v>
      </c>
      <c r="N36" s="37">
        <f t="shared" si="5"/>
        <v>0.99607224409842066</v>
      </c>
      <c r="O36" s="26">
        <f t="shared" si="5"/>
        <v>0.99607224409842066</v>
      </c>
    </row>
    <row r="38" spans="2:15" x14ac:dyDescent="0.3">
      <c r="B38" s="17" t="s">
        <v>69</v>
      </c>
    </row>
    <row r="40" spans="2:15" ht="27.6" x14ac:dyDescent="0.3">
      <c r="B40" s="18" t="s">
        <v>70</v>
      </c>
      <c r="C40" s="18" t="s">
        <v>20</v>
      </c>
      <c r="D40" s="18" t="s">
        <v>21</v>
      </c>
      <c r="E40" s="18" t="s">
        <v>22</v>
      </c>
      <c r="F40" s="18" t="s">
        <v>23</v>
      </c>
      <c r="G40" s="18" t="s">
        <v>24</v>
      </c>
      <c r="H40" s="18" t="s">
        <v>71</v>
      </c>
      <c r="I40" s="18" t="s">
        <v>72</v>
      </c>
    </row>
    <row r="41" spans="2:15" x14ac:dyDescent="0.3">
      <c r="B41" s="38">
        <v>2021</v>
      </c>
      <c r="C41" s="29">
        <f>MOP_Mes_Corriente!O14 + MOP_Mes_Corriente!O53 + MOP_Mes_Corriente!O92</f>
        <v>2326773489</v>
      </c>
      <c r="D41" s="29">
        <f>MOP_Mes_Corriente!O26 + MOP_Mes_Corriente!O65 + MOP_Mes_Corriente!O104</f>
        <v>1577529365</v>
      </c>
      <c r="E41" s="29">
        <f>MOP_Mes_Corriente!O38 + MOP_Mes_Corriente!O77 + MOP_Mes_Corriente!O116</f>
        <v>1391673062</v>
      </c>
      <c r="F41" s="29">
        <f t="shared" ref="F41:F46" si="6">D41 - E41</f>
        <v>185856303</v>
      </c>
      <c r="G41" s="30">
        <f t="shared" ref="G41:G46" si="7">IF(D41&gt;0, E41/D41, 0)</f>
        <v>0.88218520230208208</v>
      </c>
      <c r="H41" s="39" t="s">
        <v>73</v>
      </c>
      <c r="I41" s="39" t="s">
        <v>73</v>
      </c>
    </row>
    <row r="42" spans="2:15" x14ac:dyDescent="0.3">
      <c r="B42" s="40">
        <v>2022</v>
      </c>
      <c r="C42" s="21">
        <f>MOP_Mes_Corriente!AB14 + MOP_Mes_Corriente!AB53 + MOP_Mes_Corriente!AB92</f>
        <v>2620025909</v>
      </c>
      <c r="D42" s="21">
        <f>MOP_Mes_Corriente!AB26 + MOP_Mes_Corriente!AB65 + MOP_Mes_Corriente!AB104</f>
        <v>1358582828</v>
      </c>
      <c r="E42" s="21">
        <f>MOP_Mes_Corriente!AB38 + MOP_Mes_Corriente!AB77 + MOP_Mes_Corriente!AB116</f>
        <v>1340723690</v>
      </c>
      <c r="F42" s="21">
        <f t="shared" si="6"/>
        <v>17859138</v>
      </c>
      <c r="G42" s="22">
        <f t="shared" si="7"/>
        <v>0.986854582855069</v>
      </c>
      <c r="H42" s="22">
        <f t="shared" ref="H42:I46" si="8">IF(D41&gt;0, (D42-D41)/D41, 0)</f>
        <v>-0.13879078377726425</v>
      </c>
      <c r="I42" s="22">
        <f t="shared" si="8"/>
        <v>-3.6610158945506698E-2</v>
      </c>
    </row>
    <row r="43" spans="2:15" x14ac:dyDescent="0.3">
      <c r="B43" s="38">
        <v>2023</v>
      </c>
      <c r="C43" s="29">
        <f>MOP_Mes_Corriente!AO14 + MOP_Mes_Corriente!AO53 + MOP_Mes_Corriente!AO92</f>
        <v>2835156480</v>
      </c>
      <c r="D43" s="29">
        <f>MOP_Mes_Corriente!AO26 + MOP_Mes_Corriente!AO65 + MOP_Mes_Corriente!AO104</f>
        <v>2132837420</v>
      </c>
      <c r="E43" s="29">
        <f>MOP_Mes_Corriente!AO38 + MOP_Mes_Corriente!AO77 + MOP_Mes_Corriente!AO116</f>
        <v>2106371463</v>
      </c>
      <c r="F43" s="29">
        <f t="shared" si="6"/>
        <v>26465957</v>
      </c>
      <c r="G43" s="30">
        <f t="shared" si="7"/>
        <v>0.98759119811391904</v>
      </c>
      <c r="H43" s="30">
        <f t="shared" si="8"/>
        <v>0.56989870329790449</v>
      </c>
      <c r="I43" s="30">
        <f t="shared" si="8"/>
        <v>0.57107051863907921</v>
      </c>
    </row>
    <row r="44" spans="2:15" x14ac:dyDescent="0.3">
      <c r="B44" s="40">
        <v>2024</v>
      </c>
      <c r="C44" s="21">
        <f>MOP_Mes_Corriente!BB14 + MOP_Mes_Corriente!BB53 + MOP_Mes_Corriente!BB92</f>
        <v>2942161253</v>
      </c>
      <c r="D44" s="21">
        <f>MOP_Mes_Corriente!BB26 + MOP_Mes_Corriente!BB65 + MOP_Mes_Corriente!BB104</f>
        <v>2330868371</v>
      </c>
      <c r="E44" s="21">
        <f>MOP_Mes_Corriente!BB38 + MOP_Mes_Corriente!BB77 + MOP_Mes_Corriente!BB116</f>
        <v>2321713289</v>
      </c>
      <c r="F44" s="21">
        <f t="shared" si="6"/>
        <v>9155082</v>
      </c>
      <c r="G44" s="22">
        <f t="shared" si="7"/>
        <v>0.99607224409842066</v>
      </c>
      <c r="H44" s="22">
        <f t="shared" si="8"/>
        <v>9.284859180687105E-2</v>
      </c>
      <c r="I44" s="22">
        <f t="shared" si="8"/>
        <v>0.10223354701800762</v>
      </c>
    </row>
    <row r="45" spans="2:15" x14ac:dyDescent="0.3">
      <c r="B45" s="38">
        <v>2025</v>
      </c>
      <c r="C45" s="29">
        <f>MOP_Mes_Corriente!BO14 + MOP_Mes_Corriente!BO53 + MOP_Mes_Corriente!BO92</f>
        <v>3058423954</v>
      </c>
      <c r="D45" s="29">
        <f>MOP_Mes_Corriente!BO26 + MOP_Mes_Corriente!BO65 + MOP_Mes_Corriente!BO104</f>
        <v>2814546937</v>
      </c>
      <c r="E45" s="29">
        <f>MOP_Mes_Corriente!BO38 + MOP_Mes_Corriente!BO77 + MOP_Mes_Corriente!BO116</f>
        <v>2769768945</v>
      </c>
      <c r="F45" s="29">
        <f t="shared" si="6"/>
        <v>44777992</v>
      </c>
      <c r="G45" s="30">
        <f t="shared" si="7"/>
        <v>0.984090515098061</v>
      </c>
      <c r="H45" s="30">
        <f t="shared" si="8"/>
        <v>0.20751003017493003</v>
      </c>
      <c r="I45" s="30">
        <f t="shared" si="8"/>
        <v>0.19298492114544641</v>
      </c>
    </row>
    <row r="46" spans="2:15" x14ac:dyDescent="0.3">
      <c r="B46" s="40">
        <v>2026</v>
      </c>
      <c r="C46" s="21">
        <f>MOP_Mes_Corriente!CB14 + MOP_Mes_Corriente!CB53 + MOP_Mes_Corriente!CB92</f>
        <v>2710709303</v>
      </c>
      <c r="D46" s="21">
        <f>MOP_Mes_Corriente!CB26 + MOP_Mes_Corriente!CB65 + MOP_Mes_Corriente!CB104</f>
        <v>2542855698</v>
      </c>
      <c r="E46" s="21">
        <f>MOP_Mes_Corriente!CB38 + MOP_Mes_Corriente!CB77 + MOP_Mes_Corriente!CB116</f>
        <v>1238260857</v>
      </c>
      <c r="F46" s="21">
        <f t="shared" si="6"/>
        <v>1304594841</v>
      </c>
      <c r="G46" s="22">
        <f t="shared" si="7"/>
        <v>0.48695679348769716</v>
      </c>
      <c r="H46" s="22">
        <f t="shared" si="8"/>
        <v>-9.6531074123636124E-2</v>
      </c>
      <c r="I46" s="22">
        <f t="shared" si="8"/>
        <v>-0.55293712884054302</v>
      </c>
    </row>
  </sheetData>
  <mergeCells count="19">
    <mergeCell ref="D4:E4"/>
    <mergeCell ref="F4:G4"/>
    <mergeCell ref="H4:I4"/>
    <mergeCell ref="J4:L4"/>
    <mergeCell ref="B6:C6"/>
    <mergeCell ref="D6:E6"/>
    <mergeCell ref="F6:G6"/>
    <mergeCell ref="H6:I6"/>
    <mergeCell ref="J6:L6"/>
    <mergeCell ref="B9:C9"/>
    <mergeCell ref="D9:E9"/>
    <mergeCell ref="F9:G9"/>
    <mergeCell ref="H9:I9"/>
    <mergeCell ref="J9:L9"/>
    <mergeCell ref="B7:C8"/>
    <mergeCell ref="D7:E8"/>
    <mergeCell ref="F7:G8"/>
    <mergeCell ref="H7:I8"/>
    <mergeCell ref="J7:L8"/>
  </mergeCells>
  <dataValidations count="1">
    <dataValidation type="list" sqref="C4" xr:uid="{4812CE76-75F2-4F43-A45C-428A0A041C35}">
      <formula1>"2021,2022,2023,2024,2025,2026"</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B161"/>
  <sheetViews>
    <sheetView showGridLines="0" workbookViewId="0">
      <pane xSplit="2" ySplit="1" topLeftCell="O65" activePane="bottomRight" state="frozen"/>
      <selection pane="topRight"/>
      <selection pane="bottomLeft"/>
      <selection pane="bottomRight"/>
    </sheetView>
  </sheetViews>
  <sheetFormatPr baseColWidth="10" defaultColWidth="9.109375" defaultRowHeight="14.4" outlineLevelCol="1" x14ac:dyDescent="0.3"/>
  <cols>
    <col min="1" max="1" width="4.44140625" style="12" customWidth="1"/>
    <col min="2" max="2" width="34" style="12" customWidth="1"/>
    <col min="3" max="14" width="15.44140625" style="12" hidden="1" customWidth="1" outlineLevel="1"/>
    <col min="15" max="15" width="18" style="12" customWidth="1" collapsed="1"/>
    <col min="16" max="27" width="15.44140625" style="12" hidden="1" customWidth="1" outlineLevel="1"/>
    <col min="28" max="28" width="18" style="12" customWidth="1" collapsed="1"/>
    <col min="29" max="40" width="15.44140625" style="12" hidden="1" customWidth="1" outlineLevel="1"/>
    <col min="41" max="41" width="18" style="12" customWidth="1" collapsed="1"/>
    <col min="42" max="53" width="15.44140625" style="12" hidden="1" customWidth="1" outlineLevel="1"/>
    <col min="54" max="54" width="18" style="12" customWidth="1" collapsed="1"/>
    <col min="55" max="66" width="15.44140625" style="12" hidden="1" customWidth="1" outlineLevel="1"/>
    <col min="67" max="67" width="18" style="12" customWidth="1" collapsed="1"/>
    <col min="68" max="79" width="15.44140625" style="12" hidden="1" customWidth="1" outlineLevel="1"/>
    <col min="80" max="80" width="18" style="12" customWidth="1" collapsed="1"/>
  </cols>
  <sheetData>
    <row r="1" spans="2:80" ht="16.05" customHeight="1" x14ac:dyDescent="0.3">
      <c r="B1" s="1" t="s">
        <v>74</v>
      </c>
    </row>
    <row r="2" spans="2:80" x14ac:dyDescent="0.3">
      <c r="B2" s="64" t="s">
        <v>75</v>
      </c>
      <c r="C2" s="59"/>
      <c r="D2" s="59"/>
      <c r="E2" s="59"/>
      <c r="F2" s="59"/>
    </row>
    <row r="3" spans="2:80" ht="25.95" customHeight="1" x14ac:dyDescent="0.3">
      <c r="B3" s="63" t="s">
        <v>76</v>
      </c>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row>
    <row r="5" spans="2:80" ht="16.05" customHeight="1" x14ac:dyDescent="0.3">
      <c r="B5" s="62" t="s">
        <v>77</v>
      </c>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row>
    <row r="6" spans="2:80" ht="22.05" customHeight="1" x14ac:dyDescent="0.3">
      <c r="B6" s="2"/>
      <c r="C6" s="60" t="s">
        <v>78</v>
      </c>
      <c r="D6" s="61"/>
      <c r="E6" s="61"/>
      <c r="F6" s="61"/>
      <c r="G6" s="61"/>
      <c r="H6" s="61"/>
      <c r="I6" s="61"/>
      <c r="J6" s="61"/>
      <c r="K6" s="61"/>
      <c r="L6" s="61"/>
      <c r="M6" s="61"/>
      <c r="N6" s="61"/>
      <c r="O6" s="61"/>
      <c r="P6" s="60" t="s">
        <v>79</v>
      </c>
      <c r="Q6" s="61"/>
      <c r="R6" s="61"/>
      <c r="S6" s="61"/>
      <c r="T6" s="61"/>
      <c r="U6" s="61"/>
      <c r="V6" s="61"/>
      <c r="W6" s="61"/>
      <c r="X6" s="61"/>
      <c r="Y6" s="61"/>
      <c r="Z6" s="61"/>
      <c r="AA6" s="61"/>
      <c r="AB6" s="61"/>
      <c r="AC6" s="60">
        <v>2023</v>
      </c>
      <c r="AD6" s="61"/>
      <c r="AE6" s="61"/>
      <c r="AF6" s="61"/>
      <c r="AG6" s="61"/>
      <c r="AH6" s="61"/>
      <c r="AI6" s="61"/>
      <c r="AJ6" s="61"/>
      <c r="AK6" s="61"/>
      <c r="AL6" s="61"/>
      <c r="AM6" s="61"/>
      <c r="AN6" s="61"/>
      <c r="AO6" s="61"/>
      <c r="AP6" s="60">
        <v>2024</v>
      </c>
      <c r="AQ6" s="61"/>
      <c r="AR6" s="61"/>
      <c r="AS6" s="61"/>
      <c r="AT6" s="61"/>
      <c r="AU6" s="61"/>
      <c r="AV6" s="61"/>
      <c r="AW6" s="61"/>
      <c r="AX6" s="61"/>
      <c r="AY6" s="61"/>
      <c r="AZ6" s="61"/>
      <c r="BA6" s="61"/>
      <c r="BB6" s="61"/>
      <c r="BC6" s="60">
        <v>2025</v>
      </c>
      <c r="BD6" s="61"/>
      <c r="BE6" s="61"/>
      <c r="BF6" s="61"/>
      <c r="BG6" s="61"/>
      <c r="BH6" s="61"/>
      <c r="BI6" s="61"/>
      <c r="BJ6" s="61"/>
      <c r="BK6" s="61"/>
      <c r="BL6" s="61"/>
      <c r="BM6" s="61"/>
      <c r="BN6" s="61"/>
      <c r="BO6" s="61"/>
      <c r="BP6" s="60">
        <v>2026</v>
      </c>
      <c r="BQ6" s="61"/>
      <c r="BR6" s="61"/>
      <c r="BS6" s="61"/>
      <c r="BT6" s="61"/>
      <c r="BU6" s="61"/>
      <c r="BV6" s="61"/>
      <c r="BW6" s="61"/>
      <c r="BX6" s="61"/>
      <c r="BY6" s="61"/>
      <c r="BZ6" s="61"/>
      <c r="CA6" s="61"/>
      <c r="CB6" s="61"/>
    </row>
    <row r="7" spans="2:80" ht="28.05" customHeight="1" x14ac:dyDescent="0.3">
      <c r="B7" s="3" t="s">
        <v>80</v>
      </c>
      <c r="C7" s="4" t="s">
        <v>55</v>
      </c>
      <c r="D7" s="4" t="s">
        <v>56</v>
      </c>
      <c r="E7" s="4" t="s">
        <v>57</v>
      </c>
      <c r="F7" s="4" t="s">
        <v>58</v>
      </c>
      <c r="G7" s="4" t="s">
        <v>59</v>
      </c>
      <c r="H7" s="4" t="s">
        <v>60</v>
      </c>
      <c r="I7" s="4" t="s">
        <v>61</v>
      </c>
      <c r="J7" s="4" t="s">
        <v>62</v>
      </c>
      <c r="K7" s="4" t="s">
        <v>63</v>
      </c>
      <c r="L7" s="4" t="s">
        <v>64</v>
      </c>
      <c r="M7" s="4" t="s">
        <v>65</v>
      </c>
      <c r="N7" s="4" t="s">
        <v>66</v>
      </c>
      <c r="O7" s="5" t="s">
        <v>81</v>
      </c>
      <c r="P7" s="4" t="s">
        <v>55</v>
      </c>
      <c r="Q7" s="4" t="s">
        <v>56</v>
      </c>
      <c r="R7" s="4" t="s">
        <v>57</v>
      </c>
      <c r="S7" s="4" t="s">
        <v>58</v>
      </c>
      <c r="T7" s="4" t="s">
        <v>59</v>
      </c>
      <c r="U7" s="4" t="s">
        <v>60</v>
      </c>
      <c r="V7" s="4" t="s">
        <v>61</v>
      </c>
      <c r="W7" s="4" t="s">
        <v>62</v>
      </c>
      <c r="X7" s="4" t="s">
        <v>63</v>
      </c>
      <c r="Y7" s="4" t="s">
        <v>64</v>
      </c>
      <c r="Z7" s="4" t="s">
        <v>65</v>
      </c>
      <c r="AA7" s="4" t="s">
        <v>66</v>
      </c>
      <c r="AB7" s="5" t="s">
        <v>82</v>
      </c>
      <c r="AC7" s="4" t="s">
        <v>55</v>
      </c>
      <c r="AD7" s="4" t="s">
        <v>56</v>
      </c>
      <c r="AE7" s="4" t="s">
        <v>57</v>
      </c>
      <c r="AF7" s="4" t="s">
        <v>58</v>
      </c>
      <c r="AG7" s="4" t="s">
        <v>59</v>
      </c>
      <c r="AH7" s="4" t="s">
        <v>60</v>
      </c>
      <c r="AI7" s="4" t="s">
        <v>61</v>
      </c>
      <c r="AJ7" s="4" t="s">
        <v>62</v>
      </c>
      <c r="AK7" s="4" t="s">
        <v>63</v>
      </c>
      <c r="AL7" s="4" t="s">
        <v>64</v>
      </c>
      <c r="AM7" s="4" t="s">
        <v>65</v>
      </c>
      <c r="AN7" s="4" t="s">
        <v>66</v>
      </c>
      <c r="AO7" s="5" t="s">
        <v>83</v>
      </c>
      <c r="AP7" s="4" t="s">
        <v>55</v>
      </c>
      <c r="AQ7" s="4" t="s">
        <v>56</v>
      </c>
      <c r="AR7" s="4" t="s">
        <v>57</v>
      </c>
      <c r="AS7" s="4" t="s">
        <v>58</v>
      </c>
      <c r="AT7" s="4" t="s">
        <v>59</v>
      </c>
      <c r="AU7" s="4" t="s">
        <v>60</v>
      </c>
      <c r="AV7" s="4" t="s">
        <v>61</v>
      </c>
      <c r="AW7" s="4" t="s">
        <v>62</v>
      </c>
      <c r="AX7" s="4" t="s">
        <v>63</v>
      </c>
      <c r="AY7" s="4" t="s">
        <v>64</v>
      </c>
      <c r="AZ7" s="4" t="s">
        <v>65</v>
      </c>
      <c r="BA7" s="4" t="s">
        <v>66</v>
      </c>
      <c r="BB7" s="5" t="s">
        <v>84</v>
      </c>
      <c r="BC7" s="4" t="s">
        <v>55</v>
      </c>
      <c r="BD7" s="4" t="s">
        <v>56</v>
      </c>
      <c r="BE7" s="4" t="s">
        <v>57</v>
      </c>
      <c r="BF7" s="4" t="s">
        <v>58</v>
      </c>
      <c r="BG7" s="4" t="s">
        <v>59</v>
      </c>
      <c r="BH7" s="4" t="s">
        <v>60</v>
      </c>
      <c r="BI7" s="4" t="s">
        <v>61</v>
      </c>
      <c r="BJ7" s="4" t="s">
        <v>62</v>
      </c>
      <c r="BK7" s="4" t="s">
        <v>63</v>
      </c>
      <c r="BL7" s="4" t="s">
        <v>64</v>
      </c>
      <c r="BM7" s="4" t="s">
        <v>65</v>
      </c>
      <c r="BN7" s="4" t="s">
        <v>66</v>
      </c>
      <c r="BO7" s="5" t="s">
        <v>85</v>
      </c>
      <c r="BP7" s="4" t="s">
        <v>55</v>
      </c>
      <c r="BQ7" s="4" t="s">
        <v>56</v>
      </c>
      <c r="BR7" s="4" t="s">
        <v>57</v>
      </c>
      <c r="BS7" s="4" t="s">
        <v>58</v>
      </c>
      <c r="BT7" s="4" t="s">
        <v>59</v>
      </c>
      <c r="BU7" s="4" t="s">
        <v>60</v>
      </c>
      <c r="BV7" s="4" t="s">
        <v>61</v>
      </c>
      <c r="BW7" s="4" t="s">
        <v>62</v>
      </c>
      <c r="BX7" s="4" t="s">
        <v>63</v>
      </c>
      <c r="BY7" s="4" t="s">
        <v>64</v>
      </c>
      <c r="BZ7" s="4" t="s">
        <v>65</v>
      </c>
      <c r="CA7" s="4" t="s">
        <v>66</v>
      </c>
      <c r="CB7" s="5" t="s">
        <v>86</v>
      </c>
    </row>
    <row r="8" spans="2:80" ht="28.05" customHeight="1" x14ac:dyDescent="0.3">
      <c r="B8" s="6" t="s">
        <v>46</v>
      </c>
      <c r="C8" s="7">
        <f t="shared" ref="C8:N8" si="0">1224421462+380805877</f>
        <v>1605227339</v>
      </c>
      <c r="D8" s="7">
        <f t="shared" si="0"/>
        <v>1605227339</v>
      </c>
      <c r="E8" s="7">
        <f t="shared" si="0"/>
        <v>1605227339</v>
      </c>
      <c r="F8" s="7">
        <f t="shared" si="0"/>
        <v>1605227339</v>
      </c>
      <c r="G8" s="7">
        <f t="shared" si="0"/>
        <v>1605227339</v>
      </c>
      <c r="H8" s="7">
        <f t="shared" si="0"/>
        <v>1605227339</v>
      </c>
      <c r="I8" s="7">
        <f t="shared" si="0"/>
        <v>1605227339</v>
      </c>
      <c r="J8" s="7">
        <f t="shared" si="0"/>
        <v>1605227339</v>
      </c>
      <c r="K8" s="7">
        <f t="shared" si="0"/>
        <v>1605227339</v>
      </c>
      <c r="L8" s="7">
        <f t="shared" si="0"/>
        <v>1605227339</v>
      </c>
      <c r="M8" s="7">
        <f t="shared" si="0"/>
        <v>1605227339</v>
      </c>
      <c r="N8" s="7">
        <f t="shared" si="0"/>
        <v>1605227339</v>
      </c>
      <c r="O8" s="8">
        <f t="shared" ref="O8:O13" si="1">N8</f>
        <v>1605227339</v>
      </c>
      <c r="P8" s="7">
        <f t="shared" ref="P8:AA8" si="2">1220635546+581829225</f>
        <v>1802464771</v>
      </c>
      <c r="Q8" s="7">
        <f t="shared" si="2"/>
        <v>1802464771</v>
      </c>
      <c r="R8" s="7">
        <f t="shared" si="2"/>
        <v>1802464771</v>
      </c>
      <c r="S8" s="7">
        <f t="shared" si="2"/>
        <v>1802464771</v>
      </c>
      <c r="T8" s="7">
        <f t="shared" si="2"/>
        <v>1802464771</v>
      </c>
      <c r="U8" s="7">
        <f t="shared" si="2"/>
        <v>1802464771</v>
      </c>
      <c r="V8" s="7">
        <f t="shared" si="2"/>
        <v>1802464771</v>
      </c>
      <c r="W8" s="7">
        <f t="shared" si="2"/>
        <v>1802464771</v>
      </c>
      <c r="X8" s="7">
        <f t="shared" si="2"/>
        <v>1802464771</v>
      </c>
      <c r="Y8" s="7">
        <f t="shared" si="2"/>
        <v>1802464771</v>
      </c>
      <c r="Z8" s="7">
        <f t="shared" si="2"/>
        <v>1802464771</v>
      </c>
      <c r="AA8" s="7">
        <f t="shared" si="2"/>
        <v>1802464771</v>
      </c>
      <c r="AB8" s="8">
        <f t="shared" ref="AB8:AB13" si="3">AA8</f>
        <v>1802464771</v>
      </c>
      <c r="AC8" s="7">
        <v>1913855137</v>
      </c>
      <c r="AD8" s="7">
        <v>1913855137</v>
      </c>
      <c r="AE8" s="7">
        <v>1913855137</v>
      </c>
      <c r="AF8" s="7">
        <v>1913855137</v>
      </c>
      <c r="AG8" s="7">
        <v>1913855137</v>
      </c>
      <c r="AH8" s="7">
        <v>1913855137</v>
      </c>
      <c r="AI8" s="7">
        <v>1913855137</v>
      </c>
      <c r="AJ8" s="7">
        <v>1913855137</v>
      </c>
      <c r="AK8" s="7">
        <v>1913855137</v>
      </c>
      <c r="AL8" s="7">
        <v>1913855137</v>
      </c>
      <c r="AM8" s="7">
        <v>1913855137</v>
      </c>
      <c r="AN8" s="7">
        <v>1913855137</v>
      </c>
      <c r="AO8" s="8">
        <f t="shared" ref="AO8:AO13" si="4">AN8</f>
        <v>1913855137</v>
      </c>
      <c r="AP8" s="7">
        <v>2012684680</v>
      </c>
      <c r="AQ8" s="7">
        <v>2012684680</v>
      </c>
      <c r="AR8" s="7">
        <v>2012684680</v>
      </c>
      <c r="AS8" s="7">
        <v>2012684680</v>
      </c>
      <c r="AT8" s="7">
        <v>2012684680</v>
      </c>
      <c r="AU8" s="7">
        <v>2012684680</v>
      </c>
      <c r="AV8" s="7">
        <v>2012684680</v>
      </c>
      <c r="AW8" s="7">
        <v>2012684680</v>
      </c>
      <c r="AX8" s="7">
        <v>2012684680</v>
      </c>
      <c r="AY8" s="7">
        <v>2012684680</v>
      </c>
      <c r="AZ8" s="7">
        <v>2012684680</v>
      </c>
      <c r="BA8" s="7">
        <v>2012684680</v>
      </c>
      <c r="BB8" s="8">
        <f t="shared" ref="BB8:BB13" si="5">BA8</f>
        <v>2012684680</v>
      </c>
      <c r="BC8" s="7">
        <v>2083103023</v>
      </c>
      <c r="BD8" s="7">
        <v>2083103023</v>
      </c>
      <c r="BE8" s="7">
        <v>2083103023</v>
      </c>
      <c r="BF8" s="7">
        <v>2083103023</v>
      </c>
      <c r="BG8" s="7">
        <v>2083103023</v>
      </c>
      <c r="BH8" s="7">
        <v>2083103023</v>
      </c>
      <c r="BI8" s="7">
        <v>2083103023</v>
      </c>
      <c r="BJ8" s="7">
        <v>2083103023</v>
      </c>
      <c r="BK8" s="7">
        <v>2083103023</v>
      </c>
      <c r="BL8" s="7">
        <v>2083103023</v>
      </c>
      <c r="BM8" s="7">
        <v>2083103023</v>
      </c>
      <c r="BN8" s="7">
        <v>2083103023</v>
      </c>
      <c r="BO8" s="8">
        <f t="shared" ref="BO8:BO13" si="6">BN8</f>
        <v>2083103023</v>
      </c>
      <c r="BP8" s="7">
        <v>1951485600</v>
      </c>
      <c r="BQ8" s="7">
        <v>1951485600</v>
      </c>
      <c r="BR8" s="7">
        <v>1951485600</v>
      </c>
      <c r="BS8" s="7">
        <v>1951485600</v>
      </c>
      <c r="BT8" s="7">
        <v>1951485600</v>
      </c>
      <c r="BU8" s="7">
        <v>1951485600</v>
      </c>
      <c r="BV8" s="7">
        <v>1951485600</v>
      </c>
      <c r="BW8" s="9"/>
      <c r="BX8" s="9"/>
      <c r="BY8" s="9"/>
      <c r="BZ8" s="9"/>
      <c r="CA8" s="9"/>
      <c r="CB8" s="8">
        <f t="shared" ref="CB8:CB13" si="7">BV8</f>
        <v>1951485600</v>
      </c>
    </row>
    <row r="9" spans="2:80" ht="28.05" customHeight="1" x14ac:dyDescent="0.3">
      <c r="B9" s="6" t="s">
        <v>47</v>
      </c>
      <c r="C9" s="7">
        <f t="shared" ref="C9:N9" si="8">140801596+100700947</f>
        <v>241502543</v>
      </c>
      <c r="D9" s="7">
        <f t="shared" si="8"/>
        <v>241502543</v>
      </c>
      <c r="E9" s="7">
        <f t="shared" si="8"/>
        <v>241502543</v>
      </c>
      <c r="F9" s="7">
        <f t="shared" si="8"/>
        <v>241502543</v>
      </c>
      <c r="G9" s="7">
        <f t="shared" si="8"/>
        <v>241502543</v>
      </c>
      <c r="H9" s="7">
        <f t="shared" si="8"/>
        <v>241502543</v>
      </c>
      <c r="I9" s="7">
        <f t="shared" si="8"/>
        <v>241502543</v>
      </c>
      <c r="J9" s="7">
        <f t="shared" si="8"/>
        <v>241502543</v>
      </c>
      <c r="K9" s="7">
        <f t="shared" si="8"/>
        <v>241502543</v>
      </c>
      <c r="L9" s="7">
        <f t="shared" si="8"/>
        <v>241502543</v>
      </c>
      <c r="M9" s="7">
        <f t="shared" si="8"/>
        <v>241502543</v>
      </c>
      <c r="N9" s="7">
        <f t="shared" si="8"/>
        <v>241502543</v>
      </c>
      <c r="O9" s="8">
        <f t="shared" si="1"/>
        <v>241502543</v>
      </c>
      <c r="P9" s="7">
        <f t="shared" ref="P9:AA9" si="9">147022684+130812721</f>
        <v>277835405</v>
      </c>
      <c r="Q9" s="7">
        <f t="shared" si="9"/>
        <v>277835405</v>
      </c>
      <c r="R9" s="7">
        <f t="shared" si="9"/>
        <v>277835405</v>
      </c>
      <c r="S9" s="7">
        <f t="shared" si="9"/>
        <v>277835405</v>
      </c>
      <c r="T9" s="7">
        <f t="shared" si="9"/>
        <v>277835405</v>
      </c>
      <c r="U9" s="7">
        <f t="shared" si="9"/>
        <v>277835405</v>
      </c>
      <c r="V9" s="7">
        <f t="shared" si="9"/>
        <v>277835405</v>
      </c>
      <c r="W9" s="7">
        <f t="shared" si="9"/>
        <v>277835405</v>
      </c>
      <c r="X9" s="7">
        <f t="shared" si="9"/>
        <v>277835405</v>
      </c>
      <c r="Y9" s="7">
        <f t="shared" si="9"/>
        <v>277835405</v>
      </c>
      <c r="Z9" s="7">
        <f t="shared" si="9"/>
        <v>277835405</v>
      </c>
      <c r="AA9" s="7">
        <f t="shared" si="9"/>
        <v>277835405</v>
      </c>
      <c r="AB9" s="8">
        <f t="shared" si="3"/>
        <v>277835405</v>
      </c>
      <c r="AC9" s="7">
        <v>293591805</v>
      </c>
      <c r="AD9" s="7">
        <v>293591805</v>
      </c>
      <c r="AE9" s="7">
        <v>293591805</v>
      </c>
      <c r="AF9" s="7">
        <v>293591805</v>
      </c>
      <c r="AG9" s="7">
        <v>293591805</v>
      </c>
      <c r="AH9" s="7">
        <v>293591805</v>
      </c>
      <c r="AI9" s="7">
        <v>293591805</v>
      </c>
      <c r="AJ9" s="7">
        <v>293591805</v>
      </c>
      <c r="AK9" s="7">
        <v>293591805</v>
      </c>
      <c r="AL9" s="7">
        <v>293591805</v>
      </c>
      <c r="AM9" s="7">
        <v>293591805</v>
      </c>
      <c r="AN9" s="7">
        <v>293591805</v>
      </c>
      <c r="AO9" s="8">
        <f t="shared" si="4"/>
        <v>293591805</v>
      </c>
      <c r="AP9" s="7">
        <v>295701947</v>
      </c>
      <c r="AQ9" s="7">
        <v>295701947</v>
      </c>
      <c r="AR9" s="7">
        <v>295701947</v>
      </c>
      <c r="AS9" s="7">
        <v>295701947</v>
      </c>
      <c r="AT9" s="7">
        <v>295701947</v>
      </c>
      <c r="AU9" s="7">
        <v>295701947</v>
      </c>
      <c r="AV9" s="7">
        <v>295701947</v>
      </c>
      <c r="AW9" s="7">
        <v>295701947</v>
      </c>
      <c r="AX9" s="7">
        <v>295701947</v>
      </c>
      <c r="AY9" s="7">
        <v>295701947</v>
      </c>
      <c r="AZ9" s="7">
        <v>295701947</v>
      </c>
      <c r="BA9" s="7">
        <v>295701947</v>
      </c>
      <c r="BB9" s="8">
        <f t="shared" si="5"/>
        <v>295701947</v>
      </c>
      <c r="BC9" s="7">
        <v>308121429</v>
      </c>
      <c r="BD9" s="7">
        <v>308121429</v>
      </c>
      <c r="BE9" s="7">
        <v>308121429</v>
      </c>
      <c r="BF9" s="7">
        <v>308121429</v>
      </c>
      <c r="BG9" s="7">
        <v>308121429</v>
      </c>
      <c r="BH9" s="7">
        <v>308121429</v>
      </c>
      <c r="BI9" s="7">
        <v>308121429</v>
      </c>
      <c r="BJ9" s="7">
        <v>308121429</v>
      </c>
      <c r="BK9" s="7">
        <v>308121429</v>
      </c>
      <c r="BL9" s="7">
        <v>308121429</v>
      </c>
      <c r="BM9" s="7">
        <v>308121429</v>
      </c>
      <c r="BN9" s="7">
        <v>308121429</v>
      </c>
      <c r="BO9" s="8">
        <f t="shared" si="6"/>
        <v>308121429</v>
      </c>
      <c r="BP9" s="7">
        <v>195906100</v>
      </c>
      <c r="BQ9" s="7">
        <v>195906100</v>
      </c>
      <c r="BR9" s="7">
        <v>195906100</v>
      </c>
      <c r="BS9" s="7">
        <v>195906100</v>
      </c>
      <c r="BT9" s="7">
        <v>195906100</v>
      </c>
      <c r="BU9" s="7">
        <v>195906100</v>
      </c>
      <c r="BV9" s="7">
        <v>195906100</v>
      </c>
      <c r="BW9" s="9"/>
      <c r="BX9" s="9"/>
      <c r="BY9" s="9"/>
      <c r="BZ9" s="9"/>
      <c r="CA9" s="9"/>
      <c r="CB9" s="8">
        <f t="shared" si="7"/>
        <v>195906100</v>
      </c>
    </row>
    <row r="10" spans="2:80" ht="28.05" customHeight="1" x14ac:dyDescent="0.3">
      <c r="B10" s="6" t="s">
        <v>48</v>
      </c>
      <c r="C10" s="7">
        <f t="shared" ref="C10:N10" si="10">142048072+104543895</f>
        <v>246591967</v>
      </c>
      <c r="D10" s="7">
        <f t="shared" si="10"/>
        <v>246591967</v>
      </c>
      <c r="E10" s="7">
        <f t="shared" si="10"/>
        <v>246591967</v>
      </c>
      <c r="F10" s="7">
        <f t="shared" si="10"/>
        <v>246591967</v>
      </c>
      <c r="G10" s="7">
        <f t="shared" si="10"/>
        <v>246591967</v>
      </c>
      <c r="H10" s="7">
        <f t="shared" si="10"/>
        <v>246591967</v>
      </c>
      <c r="I10" s="7">
        <f t="shared" si="10"/>
        <v>246591967</v>
      </c>
      <c r="J10" s="7">
        <f t="shared" si="10"/>
        <v>246591967</v>
      </c>
      <c r="K10" s="7">
        <f t="shared" si="10"/>
        <v>246591967</v>
      </c>
      <c r="L10" s="7">
        <f t="shared" si="10"/>
        <v>246591967</v>
      </c>
      <c r="M10" s="7">
        <f t="shared" si="10"/>
        <v>246591967</v>
      </c>
      <c r="N10" s="7">
        <f t="shared" si="10"/>
        <v>246591967</v>
      </c>
      <c r="O10" s="8">
        <f t="shared" si="1"/>
        <v>246591967</v>
      </c>
      <c r="P10" s="7">
        <f t="shared" ref="P10:AA10" si="11">148440561+129907392</f>
        <v>278347953</v>
      </c>
      <c r="Q10" s="7">
        <f t="shared" si="11"/>
        <v>278347953</v>
      </c>
      <c r="R10" s="7">
        <f t="shared" si="11"/>
        <v>278347953</v>
      </c>
      <c r="S10" s="7">
        <f t="shared" si="11"/>
        <v>278347953</v>
      </c>
      <c r="T10" s="7">
        <f t="shared" si="11"/>
        <v>278347953</v>
      </c>
      <c r="U10" s="7">
        <f t="shared" si="11"/>
        <v>278347953</v>
      </c>
      <c r="V10" s="7">
        <f t="shared" si="11"/>
        <v>278347953</v>
      </c>
      <c r="W10" s="7">
        <f t="shared" si="11"/>
        <v>278347953</v>
      </c>
      <c r="X10" s="7">
        <f t="shared" si="11"/>
        <v>278347953</v>
      </c>
      <c r="Y10" s="7">
        <f t="shared" si="11"/>
        <v>278347953</v>
      </c>
      <c r="Z10" s="7">
        <f t="shared" si="11"/>
        <v>278347953</v>
      </c>
      <c r="AA10" s="7">
        <f t="shared" si="11"/>
        <v>278347953</v>
      </c>
      <c r="AB10" s="8">
        <f t="shared" si="3"/>
        <v>278347953</v>
      </c>
      <c r="AC10" s="7">
        <v>295780655</v>
      </c>
      <c r="AD10" s="7">
        <v>295780655</v>
      </c>
      <c r="AE10" s="7">
        <v>295780655</v>
      </c>
      <c r="AF10" s="7">
        <v>295780655</v>
      </c>
      <c r="AG10" s="7">
        <v>295780655</v>
      </c>
      <c r="AH10" s="7">
        <v>295780655</v>
      </c>
      <c r="AI10" s="7">
        <v>295780655</v>
      </c>
      <c r="AJ10" s="7">
        <v>295780655</v>
      </c>
      <c r="AK10" s="7">
        <v>295780655</v>
      </c>
      <c r="AL10" s="7">
        <v>295780655</v>
      </c>
      <c r="AM10" s="7">
        <v>295780655</v>
      </c>
      <c r="AN10" s="7">
        <v>295780655</v>
      </c>
      <c r="AO10" s="8">
        <f t="shared" si="4"/>
        <v>295780655</v>
      </c>
      <c r="AP10" s="7">
        <v>315696642</v>
      </c>
      <c r="AQ10" s="7">
        <v>315696642</v>
      </c>
      <c r="AR10" s="7">
        <v>315696642</v>
      </c>
      <c r="AS10" s="7">
        <v>315696642</v>
      </c>
      <c r="AT10" s="7">
        <v>315696642</v>
      </c>
      <c r="AU10" s="7">
        <v>315696642</v>
      </c>
      <c r="AV10" s="7">
        <v>315696642</v>
      </c>
      <c r="AW10" s="7">
        <v>315696642</v>
      </c>
      <c r="AX10" s="7">
        <v>315696642</v>
      </c>
      <c r="AY10" s="7">
        <v>315696642</v>
      </c>
      <c r="AZ10" s="7">
        <v>315696642</v>
      </c>
      <c r="BA10" s="7">
        <v>315696642</v>
      </c>
      <c r="BB10" s="8">
        <f t="shared" si="5"/>
        <v>315696642</v>
      </c>
      <c r="BC10" s="7">
        <v>329603442</v>
      </c>
      <c r="BD10" s="7">
        <v>329603442</v>
      </c>
      <c r="BE10" s="7">
        <v>329603442</v>
      </c>
      <c r="BF10" s="7">
        <v>329603442</v>
      </c>
      <c r="BG10" s="7">
        <v>329603442</v>
      </c>
      <c r="BH10" s="7">
        <v>329603442</v>
      </c>
      <c r="BI10" s="7">
        <v>329603442</v>
      </c>
      <c r="BJ10" s="7">
        <v>329603442</v>
      </c>
      <c r="BK10" s="7">
        <v>329603442</v>
      </c>
      <c r="BL10" s="7">
        <v>329603442</v>
      </c>
      <c r="BM10" s="7">
        <v>329603442</v>
      </c>
      <c r="BN10" s="7">
        <v>329603442</v>
      </c>
      <c r="BO10" s="8">
        <f t="shared" si="6"/>
        <v>329603442</v>
      </c>
      <c r="BP10" s="7">
        <v>290113797</v>
      </c>
      <c r="BQ10" s="7">
        <v>290113797</v>
      </c>
      <c r="BR10" s="7">
        <v>290113797</v>
      </c>
      <c r="BS10" s="7">
        <v>290113797</v>
      </c>
      <c r="BT10" s="7">
        <v>290113797</v>
      </c>
      <c r="BU10" s="7">
        <v>290113797</v>
      </c>
      <c r="BV10" s="7">
        <v>290113797</v>
      </c>
      <c r="BW10" s="9"/>
      <c r="BX10" s="9"/>
      <c r="BY10" s="9"/>
      <c r="BZ10" s="9"/>
      <c r="CA10" s="9"/>
      <c r="CB10" s="8">
        <f t="shared" si="7"/>
        <v>290113797</v>
      </c>
    </row>
    <row r="11" spans="2:80" ht="28.05" customHeight="1" x14ac:dyDescent="0.3">
      <c r="B11" s="6" t="s">
        <v>49</v>
      </c>
      <c r="C11" s="7">
        <f t="shared" ref="C11:N11" si="12">73670723+10507533</f>
        <v>84178256</v>
      </c>
      <c r="D11" s="7">
        <f t="shared" si="12"/>
        <v>84178256</v>
      </c>
      <c r="E11" s="7">
        <f t="shared" si="12"/>
        <v>84178256</v>
      </c>
      <c r="F11" s="7">
        <f t="shared" si="12"/>
        <v>84178256</v>
      </c>
      <c r="G11" s="7">
        <f t="shared" si="12"/>
        <v>84178256</v>
      </c>
      <c r="H11" s="7">
        <f t="shared" si="12"/>
        <v>84178256</v>
      </c>
      <c r="I11" s="7">
        <f t="shared" si="12"/>
        <v>84178256</v>
      </c>
      <c r="J11" s="7">
        <f t="shared" si="12"/>
        <v>84178256</v>
      </c>
      <c r="K11" s="7">
        <f t="shared" si="12"/>
        <v>84178256</v>
      </c>
      <c r="L11" s="7">
        <f t="shared" si="12"/>
        <v>84178256</v>
      </c>
      <c r="M11" s="7">
        <f t="shared" si="12"/>
        <v>84178256</v>
      </c>
      <c r="N11" s="7">
        <f t="shared" si="12"/>
        <v>84178256</v>
      </c>
      <c r="O11" s="8">
        <f t="shared" si="1"/>
        <v>84178256</v>
      </c>
      <c r="P11" s="7">
        <f t="shared" ref="P11:AA11" si="13">76882481+23172423</f>
        <v>100054904</v>
      </c>
      <c r="Q11" s="7">
        <f t="shared" si="13"/>
        <v>100054904</v>
      </c>
      <c r="R11" s="7">
        <f t="shared" si="13"/>
        <v>100054904</v>
      </c>
      <c r="S11" s="7">
        <f t="shared" si="13"/>
        <v>100054904</v>
      </c>
      <c r="T11" s="7">
        <f t="shared" si="13"/>
        <v>100054904</v>
      </c>
      <c r="U11" s="7">
        <f t="shared" si="13"/>
        <v>100054904</v>
      </c>
      <c r="V11" s="7">
        <f t="shared" si="13"/>
        <v>100054904</v>
      </c>
      <c r="W11" s="7">
        <f t="shared" si="13"/>
        <v>100054904</v>
      </c>
      <c r="X11" s="7">
        <f t="shared" si="13"/>
        <v>100054904</v>
      </c>
      <c r="Y11" s="7">
        <f t="shared" si="13"/>
        <v>100054904</v>
      </c>
      <c r="Z11" s="7">
        <f t="shared" si="13"/>
        <v>100054904</v>
      </c>
      <c r="AA11" s="7">
        <f t="shared" si="13"/>
        <v>100054904</v>
      </c>
      <c r="AB11" s="8">
        <f t="shared" si="3"/>
        <v>100054904</v>
      </c>
      <c r="AC11" s="7">
        <v>115171552</v>
      </c>
      <c r="AD11" s="7">
        <v>115171552</v>
      </c>
      <c r="AE11" s="7">
        <v>115171552</v>
      </c>
      <c r="AF11" s="7">
        <v>115171552</v>
      </c>
      <c r="AG11" s="7">
        <v>115171552</v>
      </c>
      <c r="AH11" s="7">
        <v>115171552</v>
      </c>
      <c r="AI11" s="7">
        <v>115171552</v>
      </c>
      <c r="AJ11" s="7">
        <v>115171552</v>
      </c>
      <c r="AK11" s="7">
        <v>115171552</v>
      </c>
      <c r="AL11" s="7">
        <v>115171552</v>
      </c>
      <c r="AM11" s="7">
        <v>115171552</v>
      </c>
      <c r="AN11" s="7">
        <v>115171552</v>
      </c>
      <c r="AO11" s="8">
        <f t="shared" si="4"/>
        <v>115171552</v>
      </c>
      <c r="AP11" s="7">
        <v>127117895</v>
      </c>
      <c r="AQ11" s="7">
        <v>127117895</v>
      </c>
      <c r="AR11" s="7">
        <v>127117895</v>
      </c>
      <c r="AS11" s="7">
        <v>127117895</v>
      </c>
      <c r="AT11" s="7">
        <v>127117895</v>
      </c>
      <c r="AU11" s="7">
        <v>127117895</v>
      </c>
      <c r="AV11" s="7">
        <v>127117895</v>
      </c>
      <c r="AW11" s="7">
        <v>127117895</v>
      </c>
      <c r="AX11" s="7">
        <v>127117895</v>
      </c>
      <c r="AY11" s="7">
        <v>127117895</v>
      </c>
      <c r="AZ11" s="7">
        <v>127117895</v>
      </c>
      <c r="BA11" s="7">
        <v>127117895</v>
      </c>
      <c r="BB11" s="8">
        <f t="shared" si="5"/>
        <v>127117895</v>
      </c>
      <c r="BC11" s="7">
        <v>125417585</v>
      </c>
      <c r="BD11" s="7">
        <v>125417585</v>
      </c>
      <c r="BE11" s="7">
        <v>125417585</v>
      </c>
      <c r="BF11" s="7">
        <v>125417585</v>
      </c>
      <c r="BG11" s="7">
        <v>125417585</v>
      </c>
      <c r="BH11" s="7">
        <v>125417585</v>
      </c>
      <c r="BI11" s="7">
        <v>125417585</v>
      </c>
      <c r="BJ11" s="7">
        <v>125417585</v>
      </c>
      <c r="BK11" s="7">
        <v>125417585</v>
      </c>
      <c r="BL11" s="7">
        <v>125417585</v>
      </c>
      <c r="BM11" s="7">
        <v>125417585</v>
      </c>
      <c r="BN11" s="7">
        <v>125417585</v>
      </c>
      <c r="BO11" s="8">
        <f t="shared" si="6"/>
        <v>125417585</v>
      </c>
      <c r="BP11" s="7">
        <v>109909690</v>
      </c>
      <c r="BQ11" s="7">
        <v>109909690</v>
      </c>
      <c r="BR11" s="7">
        <v>109909690</v>
      </c>
      <c r="BS11" s="7">
        <v>109909690</v>
      </c>
      <c r="BT11" s="7">
        <v>109909690</v>
      </c>
      <c r="BU11" s="7">
        <v>109909690</v>
      </c>
      <c r="BV11" s="7">
        <v>109909690</v>
      </c>
      <c r="BW11" s="9"/>
      <c r="BX11" s="9"/>
      <c r="BY11" s="9"/>
      <c r="BZ11" s="9"/>
      <c r="CA11" s="9"/>
      <c r="CB11" s="8">
        <f t="shared" si="7"/>
        <v>109909690</v>
      </c>
    </row>
    <row r="12" spans="2:80" ht="28.05" customHeight="1" x14ac:dyDescent="0.3">
      <c r="B12" s="6" t="s">
        <v>50</v>
      </c>
      <c r="C12" s="7">
        <f t="shared" ref="C12:N12" si="14">60144148+46830346</f>
        <v>106974494</v>
      </c>
      <c r="D12" s="7">
        <f t="shared" si="14"/>
        <v>106974494</v>
      </c>
      <c r="E12" s="7">
        <f t="shared" si="14"/>
        <v>106974494</v>
      </c>
      <c r="F12" s="7">
        <f t="shared" si="14"/>
        <v>106974494</v>
      </c>
      <c r="G12" s="7">
        <f t="shared" si="14"/>
        <v>106974494</v>
      </c>
      <c r="H12" s="7">
        <f t="shared" si="14"/>
        <v>106974494</v>
      </c>
      <c r="I12" s="7">
        <f t="shared" si="14"/>
        <v>106974494</v>
      </c>
      <c r="J12" s="7">
        <f t="shared" si="14"/>
        <v>106974494</v>
      </c>
      <c r="K12" s="7">
        <f t="shared" si="14"/>
        <v>106974494</v>
      </c>
      <c r="L12" s="7">
        <f t="shared" si="14"/>
        <v>106974494</v>
      </c>
      <c r="M12" s="7">
        <f t="shared" si="14"/>
        <v>106974494</v>
      </c>
      <c r="N12" s="7">
        <f t="shared" si="14"/>
        <v>106974494</v>
      </c>
      <c r="O12" s="8">
        <f t="shared" si="1"/>
        <v>106974494</v>
      </c>
      <c r="P12" s="7">
        <f t="shared" ref="P12:AA12" si="15">62797413+55033938</f>
        <v>117831351</v>
      </c>
      <c r="Q12" s="7">
        <f t="shared" si="15"/>
        <v>117831351</v>
      </c>
      <c r="R12" s="7">
        <f t="shared" si="15"/>
        <v>117831351</v>
      </c>
      <c r="S12" s="7">
        <f t="shared" si="15"/>
        <v>117831351</v>
      </c>
      <c r="T12" s="7">
        <f t="shared" si="15"/>
        <v>117831351</v>
      </c>
      <c r="U12" s="7">
        <f t="shared" si="15"/>
        <v>117831351</v>
      </c>
      <c r="V12" s="7">
        <f t="shared" si="15"/>
        <v>117831351</v>
      </c>
      <c r="W12" s="7">
        <f t="shared" si="15"/>
        <v>117831351</v>
      </c>
      <c r="X12" s="7">
        <f t="shared" si="15"/>
        <v>117831351</v>
      </c>
      <c r="Y12" s="7">
        <f t="shared" si="15"/>
        <v>117831351</v>
      </c>
      <c r="Z12" s="7">
        <f t="shared" si="15"/>
        <v>117831351</v>
      </c>
      <c r="AA12" s="7">
        <f t="shared" si="15"/>
        <v>117831351</v>
      </c>
      <c r="AB12" s="8">
        <f t="shared" si="3"/>
        <v>117831351</v>
      </c>
      <c r="AC12" s="7">
        <v>135318267</v>
      </c>
      <c r="AD12" s="7">
        <v>135318267</v>
      </c>
      <c r="AE12" s="7">
        <v>135318267</v>
      </c>
      <c r="AF12" s="7">
        <v>135318267</v>
      </c>
      <c r="AG12" s="7">
        <v>135318267</v>
      </c>
      <c r="AH12" s="7">
        <v>135318267</v>
      </c>
      <c r="AI12" s="7">
        <v>135318267</v>
      </c>
      <c r="AJ12" s="7">
        <v>135318267</v>
      </c>
      <c r="AK12" s="7">
        <v>135318267</v>
      </c>
      <c r="AL12" s="7">
        <v>135318267</v>
      </c>
      <c r="AM12" s="7">
        <v>135318267</v>
      </c>
      <c r="AN12" s="7">
        <v>135318267</v>
      </c>
      <c r="AO12" s="8">
        <f t="shared" si="4"/>
        <v>135318267</v>
      </c>
      <c r="AP12" s="7">
        <v>137741639</v>
      </c>
      <c r="AQ12" s="7">
        <v>137741639</v>
      </c>
      <c r="AR12" s="7">
        <v>137741639</v>
      </c>
      <c r="AS12" s="7">
        <v>137741639</v>
      </c>
      <c r="AT12" s="7">
        <v>137741639</v>
      </c>
      <c r="AU12" s="7">
        <v>137741639</v>
      </c>
      <c r="AV12" s="7">
        <v>137741639</v>
      </c>
      <c r="AW12" s="7">
        <v>137741639</v>
      </c>
      <c r="AX12" s="7">
        <v>137741639</v>
      </c>
      <c r="AY12" s="7">
        <v>137741639</v>
      </c>
      <c r="AZ12" s="7">
        <v>137741639</v>
      </c>
      <c r="BA12" s="7">
        <v>137741639</v>
      </c>
      <c r="BB12" s="8">
        <f t="shared" si="5"/>
        <v>137741639</v>
      </c>
      <c r="BC12" s="7">
        <v>141825431</v>
      </c>
      <c r="BD12" s="7">
        <v>141825431</v>
      </c>
      <c r="BE12" s="7">
        <v>141825431</v>
      </c>
      <c r="BF12" s="7">
        <v>141825431</v>
      </c>
      <c r="BG12" s="7">
        <v>141825431</v>
      </c>
      <c r="BH12" s="7">
        <v>141825431</v>
      </c>
      <c r="BI12" s="7">
        <v>141825431</v>
      </c>
      <c r="BJ12" s="7">
        <v>141825431</v>
      </c>
      <c r="BK12" s="7">
        <v>141825431</v>
      </c>
      <c r="BL12" s="7">
        <v>141825431</v>
      </c>
      <c r="BM12" s="7">
        <v>141825431</v>
      </c>
      <c r="BN12" s="7">
        <v>141825431</v>
      </c>
      <c r="BO12" s="8">
        <f t="shared" si="6"/>
        <v>141825431</v>
      </c>
      <c r="BP12" s="7">
        <v>127610750</v>
      </c>
      <c r="BQ12" s="7">
        <v>127610750</v>
      </c>
      <c r="BR12" s="7">
        <v>127610750</v>
      </c>
      <c r="BS12" s="7">
        <v>127610750</v>
      </c>
      <c r="BT12" s="7">
        <v>127610750</v>
      </c>
      <c r="BU12" s="7">
        <v>127610750</v>
      </c>
      <c r="BV12" s="7">
        <v>127610750</v>
      </c>
      <c r="BW12" s="9"/>
      <c r="BX12" s="9"/>
      <c r="BY12" s="9"/>
      <c r="BZ12" s="9"/>
      <c r="CA12" s="9"/>
      <c r="CB12" s="8">
        <f t="shared" si="7"/>
        <v>127610750</v>
      </c>
    </row>
    <row r="13" spans="2:80" ht="28.05" customHeight="1" x14ac:dyDescent="0.3">
      <c r="B13" s="6" t="s">
        <v>51</v>
      </c>
      <c r="C13" s="7">
        <f t="shared" ref="C13:N13" si="16">11904427+25061381</f>
        <v>36965808</v>
      </c>
      <c r="D13" s="7">
        <f t="shared" si="16"/>
        <v>36965808</v>
      </c>
      <c r="E13" s="7">
        <f t="shared" si="16"/>
        <v>36965808</v>
      </c>
      <c r="F13" s="7">
        <f t="shared" si="16"/>
        <v>36965808</v>
      </c>
      <c r="G13" s="7">
        <f t="shared" si="16"/>
        <v>36965808</v>
      </c>
      <c r="H13" s="7">
        <f t="shared" si="16"/>
        <v>36965808</v>
      </c>
      <c r="I13" s="7">
        <f t="shared" si="16"/>
        <v>36965808</v>
      </c>
      <c r="J13" s="7">
        <f t="shared" si="16"/>
        <v>36965808</v>
      </c>
      <c r="K13" s="7">
        <f t="shared" si="16"/>
        <v>36965808</v>
      </c>
      <c r="L13" s="7">
        <f t="shared" si="16"/>
        <v>36965808</v>
      </c>
      <c r="M13" s="7">
        <f t="shared" si="16"/>
        <v>36965808</v>
      </c>
      <c r="N13" s="7">
        <f t="shared" si="16"/>
        <v>36965808</v>
      </c>
      <c r="O13" s="8">
        <f t="shared" si="1"/>
        <v>36965808</v>
      </c>
      <c r="P13" s="7">
        <f t="shared" ref="P13:AA13" si="17">8974172+32064677</f>
        <v>41038849</v>
      </c>
      <c r="Q13" s="7">
        <f t="shared" si="17"/>
        <v>41038849</v>
      </c>
      <c r="R13" s="7">
        <f t="shared" si="17"/>
        <v>41038849</v>
      </c>
      <c r="S13" s="7">
        <f t="shared" si="17"/>
        <v>41038849</v>
      </c>
      <c r="T13" s="7">
        <f t="shared" si="17"/>
        <v>41038849</v>
      </c>
      <c r="U13" s="7">
        <f t="shared" si="17"/>
        <v>41038849</v>
      </c>
      <c r="V13" s="7">
        <f t="shared" si="17"/>
        <v>41038849</v>
      </c>
      <c r="W13" s="7">
        <f t="shared" si="17"/>
        <v>41038849</v>
      </c>
      <c r="X13" s="7">
        <f t="shared" si="17"/>
        <v>41038849</v>
      </c>
      <c r="Y13" s="7">
        <f t="shared" si="17"/>
        <v>41038849</v>
      </c>
      <c r="Z13" s="7">
        <f t="shared" si="17"/>
        <v>41038849</v>
      </c>
      <c r="AA13" s="7">
        <f t="shared" si="17"/>
        <v>41038849</v>
      </c>
      <c r="AB13" s="8">
        <f t="shared" si="3"/>
        <v>41038849</v>
      </c>
      <c r="AC13" s="7">
        <v>37590026</v>
      </c>
      <c r="AD13" s="7">
        <v>37590026</v>
      </c>
      <c r="AE13" s="7">
        <v>37590026</v>
      </c>
      <c r="AF13" s="7">
        <v>37590026</v>
      </c>
      <c r="AG13" s="7">
        <v>37590026</v>
      </c>
      <c r="AH13" s="7">
        <v>37590026</v>
      </c>
      <c r="AI13" s="7">
        <v>37590026</v>
      </c>
      <c r="AJ13" s="7">
        <v>37590026</v>
      </c>
      <c r="AK13" s="7">
        <v>37590026</v>
      </c>
      <c r="AL13" s="7">
        <v>37590026</v>
      </c>
      <c r="AM13" s="7">
        <v>37590026</v>
      </c>
      <c r="AN13" s="7">
        <v>37590026</v>
      </c>
      <c r="AO13" s="8">
        <f t="shared" si="4"/>
        <v>37590026</v>
      </c>
      <c r="AP13" s="7">
        <v>44570138</v>
      </c>
      <c r="AQ13" s="7">
        <v>44570138</v>
      </c>
      <c r="AR13" s="7">
        <v>44570138</v>
      </c>
      <c r="AS13" s="7">
        <v>44570138</v>
      </c>
      <c r="AT13" s="7">
        <v>44570138</v>
      </c>
      <c r="AU13" s="7">
        <v>44570138</v>
      </c>
      <c r="AV13" s="7">
        <v>44570138</v>
      </c>
      <c r="AW13" s="7">
        <v>44570138</v>
      </c>
      <c r="AX13" s="7">
        <v>44570138</v>
      </c>
      <c r="AY13" s="7">
        <v>44570138</v>
      </c>
      <c r="AZ13" s="7">
        <v>44570138</v>
      </c>
      <c r="BA13" s="7">
        <v>44570138</v>
      </c>
      <c r="BB13" s="8">
        <f t="shared" si="5"/>
        <v>44570138</v>
      </c>
      <c r="BC13" s="7">
        <v>57109595</v>
      </c>
      <c r="BD13" s="7">
        <v>57109595</v>
      </c>
      <c r="BE13" s="7">
        <v>57109595</v>
      </c>
      <c r="BF13" s="7">
        <v>57109595</v>
      </c>
      <c r="BG13" s="7">
        <v>57109595</v>
      </c>
      <c r="BH13" s="7">
        <v>57109595</v>
      </c>
      <c r="BI13" s="7">
        <v>57109595</v>
      </c>
      <c r="BJ13" s="7">
        <v>57109595</v>
      </c>
      <c r="BK13" s="7">
        <v>57109595</v>
      </c>
      <c r="BL13" s="7">
        <v>57109595</v>
      </c>
      <c r="BM13" s="7">
        <v>57109595</v>
      </c>
      <c r="BN13" s="7">
        <v>57109595</v>
      </c>
      <c r="BO13" s="8">
        <f t="shared" si="6"/>
        <v>57109595</v>
      </c>
      <c r="BP13" s="7">
        <v>30479549</v>
      </c>
      <c r="BQ13" s="7">
        <v>30479549</v>
      </c>
      <c r="BR13" s="7">
        <v>30479549</v>
      </c>
      <c r="BS13" s="7">
        <v>30479549</v>
      </c>
      <c r="BT13" s="7">
        <v>30479549</v>
      </c>
      <c r="BU13" s="7">
        <v>30479549</v>
      </c>
      <c r="BV13" s="7">
        <v>30479549</v>
      </c>
      <c r="BW13" s="9"/>
      <c r="BX13" s="9"/>
      <c r="BY13" s="9"/>
      <c r="BZ13" s="9"/>
      <c r="CA13" s="9"/>
      <c r="CB13" s="8">
        <f t="shared" si="7"/>
        <v>30479549</v>
      </c>
    </row>
    <row r="14" spans="2:80" ht="22.05" customHeight="1" x14ac:dyDescent="0.3">
      <c r="B14" s="3" t="s">
        <v>87</v>
      </c>
      <c r="C14" s="10">
        <f t="shared" ref="C14:AH14" si="18">SUM(C8:C13)</f>
        <v>2321440407</v>
      </c>
      <c r="D14" s="10">
        <f t="shared" si="18"/>
        <v>2321440407</v>
      </c>
      <c r="E14" s="10">
        <f t="shared" si="18"/>
        <v>2321440407</v>
      </c>
      <c r="F14" s="10">
        <f t="shared" si="18"/>
        <v>2321440407</v>
      </c>
      <c r="G14" s="10">
        <f t="shared" si="18"/>
        <v>2321440407</v>
      </c>
      <c r="H14" s="10">
        <f t="shared" si="18"/>
        <v>2321440407</v>
      </c>
      <c r="I14" s="10">
        <f t="shared" si="18"/>
        <v>2321440407</v>
      </c>
      <c r="J14" s="10">
        <f t="shared" si="18"/>
        <v>2321440407</v>
      </c>
      <c r="K14" s="10">
        <f t="shared" si="18"/>
        <v>2321440407</v>
      </c>
      <c r="L14" s="10">
        <f t="shared" si="18"/>
        <v>2321440407</v>
      </c>
      <c r="M14" s="10">
        <f t="shared" si="18"/>
        <v>2321440407</v>
      </c>
      <c r="N14" s="10">
        <f t="shared" si="18"/>
        <v>2321440407</v>
      </c>
      <c r="O14" s="10">
        <f t="shared" si="18"/>
        <v>2321440407</v>
      </c>
      <c r="P14" s="10">
        <f t="shared" si="18"/>
        <v>2617573233</v>
      </c>
      <c r="Q14" s="10">
        <f t="shared" si="18"/>
        <v>2617573233</v>
      </c>
      <c r="R14" s="10">
        <f t="shared" si="18"/>
        <v>2617573233</v>
      </c>
      <c r="S14" s="10">
        <f t="shared" si="18"/>
        <v>2617573233</v>
      </c>
      <c r="T14" s="10">
        <f t="shared" si="18"/>
        <v>2617573233</v>
      </c>
      <c r="U14" s="10">
        <f t="shared" si="18"/>
        <v>2617573233</v>
      </c>
      <c r="V14" s="10">
        <f t="shared" si="18"/>
        <v>2617573233</v>
      </c>
      <c r="W14" s="10">
        <f t="shared" si="18"/>
        <v>2617573233</v>
      </c>
      <c r="X14" s="10">
        <f t="shared" si="18"/>
        <v>2617573233</v>
      </c>
      <c r="Y14" s="10">
        <f t="shared" si="18"/>
        <v>2617573233</v>
      </c>
      <c r="Z14" s="10">
        <f t="shared" si="18"/>
        <v>2617573233</v>
      </c>
      <c r="AA14" s="10">
        <f t="shared" si="18"/>
        <v>2617573233</v>
      </c>
      <c r="AB14" s="10">
        <f t="shared" si="18"/>
        <v>2617573233</v>
      </c>
      <c r="AC14" s="10">
        <f t="shared" si="18"/>
        <v>2791307442</v>
      </c>
      <c r="AD14" s="10">
        <f t="shared" si="18"/>
        <v>2791307442</v>
      </c>
      <c r="AE14" s="10">
        <f t="shared" si="18"/>
        <v>2791307442</v>
      </c>
      <c r="AF14" s="10">
        <f t="shared" si="18"/>
        <v>2791307442</v>
      </c>
      <c r="AG14" s="10">
        <f t="shared" si="18"/>
        <v>2791307442</v>
      </c>
      <c r="AH14" s="10">
        <f t="shared" si="18"/>
        <v>2791307442</v>
      </c>
      <c r="AI14" s="10">
        <f t="shared" ref="AI14:BN14" si="19">SUM(AI8:AI13)</f>
        <v>2791307442</v>
      </c>
      <c r="AJ14" s="10">
        <f t="shared" si="19"/>
        <v>2791307442</v>
      </c>
      <c r="AK14" s="10">
        <f t="shared" si="19"/>
        <v>2791307442</v>
      </c>
      <c r="AL14" s="10">
        <f t="shared" si="19"/>
        <v>2791307442</v>
      </c>
      <c r="AM14" s="10">
        <f t="shared" si="19"/>
        <v>2791307442</v>
      </c>
      <c r="AN14" s="10">
        <f t="shared" si="19"/>
        <v>2791307442</v>
      </c>
      <c r="AO14" s="10">
        <f t="shared" si="19"/>
        <v>2791307442</v>
      </c>
      <c r="AP14" s="10">
        <f t="shared" si="19"/>
        <v>2933512941</v>
      </c>
      <c r="AQ14" s="10">
        <f t="shared" si="19"/>
        <v>2933512941</v>
      </c>
      <c r="AR14" s="10">
        <f t="shared" si="19"/>
        <v>2933512941</v>
      </c>
      <c r="AS14" s="10">
        <f t="shared" si="19"/>
        <v>2933512941</v>
      </c>
      <c r="AT14" s="10">
        <f t="shared" si="19"/>
        <v>2933512941</v>
      </c>
      <c r="AU14" s="10">
        <f t="shared" si="19"/>
        <v>2933512941</v>
      </c>
      <c r="AV14" s="10">
        <f t="shared" si="19"/>
        <v>2933512941</v>
      </c>
      <c r="AW14" s="10">
        <f t="shared" si="19"/>
        <v>2933512941</v>
      </c>
      <c r="AX14" s="10">
        <f t="shared" si="19"/>
        <v>2933512941</v>
      </c>
      <c r="AY14" s="10">
        <f t="shared" si="19"/>
        <v>2933512941</v>
      </c>
      <c r="AZ14" s="10">
        <f t="shared" si="19"/>
        <v>2933512941</v>
      </c>
      <c r="BA14" s="10">
        <f t="shared" si="19"/>
        <v>2933512941</v>
      </c>
      <c r="BB14" s="10">
        <f t="shared" si="19"/>
        <v>2933512941</v>
      </c>
      <c r="BC14" s="10">
        <f t="shared" si="19"/>
        <v>3045180505</v>
      </c>
      <c r="BD14" s="10">
        <f t="shared" si="19"/>
        <v>3045180505</v>
      </c>
      <c r="BE14" s="10">
        <f t="shared" si="19"/>
        <v>3045180505</v>
      </c>
      <c r="BF14" s="10">
        <f t="shared" si="19"/>
        <v>3045180505</v>
      </c>
      <c r="BG14" s="10">
        <f t="shared" si="19"/>
        <v>3045180505</v>
      </c>
      <c r="BH14" s="10">
        <f t="shared" si="19"/>
        <v>3045180505</v>
      </c>
      <c r="BI14" s="10">
        <f t="shared" si="19"/>
        <v>3045180505</v>
      </c>
      <c r="BJ14" s="10">
        <f t="shared" si="19"/>
        <v>3045180505</v>
      </c>
      <c r="BK14" s="10">
        <f t="shared" si="19"/>
        <v>3045180505</v>
      </c>
      <c r="BL14" s="10">
        <f t="shared" si="19"/>
        <v>3045180505</v>
      </c>
      <c r="BM14" s="10">
        <f t="shared" si="19"/>
        <v>3045180505</v>
      </c>
      <c r="BN14" s="10">
        <f t="shared" si="19"/>
        <v>3045180505</v>
      </c>
      <c r="BO14" s="10">
        <f t="shared" ref="BO14:CB14" si="20">SUM(BO8:BO13)</f>
        <v>3045180505</v>
      </c>
      <c r="BP14" s="10">
        <f t="shared" si="20"/>
        <v>2705505486</v>
      </c>
      <c r="BQ14" s="10">
        <f t="shared" si="20"/>
        <v>2705505486</v>
      </c>
      <c r="BR14" s="10">
        <f t="shared" si="20"/>
        <v>2705505486</v>
      </c>
      <c r="BS14" s="10">
        <f t="shared" si="20"/>
        <v>2705505486</v>
      </c>
      <c r="BT14" s="10">
        <f t="shared" si="20"/>
        <v>2705505486</v>
      </c>
      <c r="BU14" s="10">
        <f t="shared" si="20"/>
        <v>2705505486</v>
      </c>
      <c r="BV14" s="10">
        <f t="shared" si="20"/>
        <v>2705505486</v>
      </c>
      <c r="BW14" s="10">
        <f t="shared" si="20"/>
        <v>0</v>
      </c>
      <c r="BX14" s="10">
        <f t="shared" si="20"/>
        <v>0</v>
      </c>
      <c r="BY14" s="10">
        <f t="shared" si="20"/>
        <v>0</v>
      </c>
      <c r="BZ14" s="10">
        <f t="shared" si="20"/>
        <v>0</v>
      </c>
      <c r="CA14" s="10">
        <f t="shared" si="20"/>
        <v>0</v>
      </c>
      <c r="CB14" s="10">
        <f t="shared" si="20"/>
        <v>2705505486</v>
      </c>
    </row>
    <row r="15" spans="2:80" x14ac:dyDescent="0.3">
      <c r="B15" s="58" t="s">
        <v>88</v>
      </c>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row>
    <row r="17" spans="2:80" ht="16.05" customHeight="1" x14ac:dyDescent="0.3">
      <c r="B17" s="62" t="s">
        <v>89</v>
      </c>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row>
    <row r="18" spans="2:80" ht="22.05" customHeight="1" x14ac:dyDescent="0.3">
      <c r="B18" s="2"/>
      <c r="C18" s="60" t="s">
        <v>78</v>
      </c>
      <c r="D18" s="61"/>
      <c r="E18" s="61"/>
      <c r="F18" s="61"/>
      <c r="G18" s="61"/>
      <c r="H18" s="61"/>
      <c r="I18" s="61"/>
      <c r="J18" s="61"/>
      <c r="K18" s="61"/>
      <c r="L18" s="61"/>
      <c r="M18" s="61"/>
      <c r="N18" s="61"/>
      <c r="O18" s="61"/>
      <c r="P18" s="60" t="s">
        <v>79</v>
      </c>
      <c r="Q18" s="61"/>
      <c r="R18" s="61"/>
      <c r="S18" s="61"/>
      <c r="T18" s="61"/>
      <c r="U18" s="61"/>
      <c r="V18" s="61"/>
      <c r="W18" s="61"/>
      <c r="X18" s="61"/>
      <c r="Y18" s="61"/>
      <c r="Z18" s="61"/>
      <c r="AA18" s="61"/>
      <c r="AB18" s="61"/>
      <c r="AC18" s="60">
        <v>2023</v>
      </c>
      <c r="AD18" s="61"/>
      <c r="AE18" s="61"/>
      <c r="AF18" s="61"/>
      <c r="AG18" s="61"/>
      <c r="AH18" s="61"/>
      <c r="AI18" s="61"/>
      <c r="AJ18" s="61"/>
      <c r="AK18" s="61"/>
      <c r="AL18" s="61"/>
      <c r="AM18" s="61"/>
      <c r="AN18" s="61"/>
      <c r="AO18" s="61"/>
      <c r="AP18" s="60">
        <v>2024</v>
      </c>
      <c r="AQ18" s="61"/>
      <c r="AR18" s="61"/>
      <c r="AS18" s="61"/>
      <c r="AT18" s="61"/>
      <c r="AU18" s="61"/>
      <c r="AV18" s="61"/>
      <c r="AW18" s="61"/>
      <c r="AX18" s="61"/>
      <c r="AY18" s="61"/>
      <c r="AZ18" s="61"/>
      <c r="BA18" s="61"/>
      <c r="BB18" s="61"/>
      <c r="BC18" s="60">
        <v>2025</v>
      </c>
      <c r="BD18" s="61"/>
      <c r="BE18" s="61"/>
      <c r="BF18" s="61"/>
      <c r="BG18" s="61"/>
      <c r="BH18" s="61"/>
      <c r="BI18" s="61"/>
      <c r="BJ18" s="61"/>
      <c r="BK18" s="61"/>
      <c r="BL18" s="61"/>
      <c r="BM18" s="61"/>
      <c r="BN18" s="61"/>
      <c r="BO18" s="61"/>
      <c r="BP18" s="60">
        <v>2026</v>
      </c>
      <c r="BQ18" s="61"/>
      <c r="BR18" s="61"/>
      <c r="BS18" s="61"/>
      <c r="BT18" s="61"/>
      <c r="BU18" s="61"/>
      <c r="BV18" s="61"/>
      <c r="BW18" s="61"/>
      <c r="BX18" s="61"/>
      <c r="BY18" s="61"/>
      <c r="BZ18" s="61"/>
      <c r="CA18" s="61"/>
      <c r="CB18" s="61"/>
    </row>
    <row r="19" spans="2:80" ht="28.05" customHeight="1" x14ac:dyDescent="0.3">
      <c r="B19" s="3" t="s">
        <v>80</v>
      </c>
      <c r="C19" s="4" t="s">
        <v>55</v>
      </c>
      <c r="D19" s="4" t="s">
        <v>56</v>
      </c>
      <c r="E19" s="4" t="s">
        <v>57</v>
      </c>
      <c r="F19" s="4" t="s">
        <v>58</v>
      </c>
      <c r="G19" s="4" t="s">
        <v>59</v>
      </c>
      <c r="H19" s="4" t="s">
        <v>60</v>
      </c>
      <c r="I19" s="4" t="s">
        <v>61</v>
      </c>
      <c r="J19" s="4" t="s">
        <v>62</v>
      </c>
      <c r="K19" s="4" t="s">
        <v>63</v>
      </c>
      <c r="L19" s="4" t="s">
        <v>64</v>
      </c>
      <c r="M19" s="4" t="s">
        <v>65</v>
      </c>
      <c r="N19" s="4" t="s">
        <v>66</v>
      </c>
      <c r="O19" s="5" t="s">
        <v>81</v>
      </c>
      <c r="P19" s="4" t="s">
        <v>55</v>
      </c>
      <c r="Q19" s="4" t="s">
        <v>56</v>
      </c>
      <c r="R19" s="4" t="s">
        <v>57</v>
      </c>
      <c r="S19" s="4" t="s">
        <v>58</v>
      </c>
      <c r="T19" s="4" t="s">
        <v>59</v>
      </c>
      <c r="U19" s="4" t="s">
        <v>60</v>
      </c>
      <c r="V19" s="4" t="s">
        <v>61</v>
      </c>
      <c r="W19" s="4" t="s">
        <v>62</v>
      </c>
      <c r="X19" s="4" t="s">
        <v>63</v>
      </c>
      <c r="Y19" s="4" t="s">
        <v>64</v>
      </c>
      <c r="Z19" s="4" t="s">
        <v>65</v>
      </c>
      <c r="AA19" s="4" t="s">
        <v>66</v>
      </c>
      <c r="AB19" s="5" t="s">
        <v>82</v>
      </c>
      <c r="AC19" s="4" t="s">
        <v>55</v>
      </c>
      <c r="AD19" s="4" t="s">
        <v>56</v>
      </c>
      <c r="AE19" s="4" t="s">
        <v>57</v>
      </c>
      <c r="AF19" s="4" t="s">
        <v>58</v>
      </c>
      <c r="AG19" s="4" t="s">
        <v>59</v>
      </c>
      <c r="AH19" s="4" t="s">
        <v>60</v>
      </c>
      <c r="AI19" s="4" t="s">
        <v>61</v>
      </c>
      <c r="AJ19" s="4" t="s">
        <v>62</v>
      </c>
      <c r="AK19" s="4" t="s">
        <v>63</v>
      </c>
      <c r="AL19" s="4" t="s">
        <v>64</v>
      </c>
      <c r="AM19" s="4" t="s">
        <v>65</v>
      </c>
      <c r="AN19" s="4" t="s">
        <v>66</v>
      </c>
      <c r="AO19" s="5" t="s">
        <v>83</v>
      </c>
      <c r="AP19" s="4" t="s">
        <v>55</v>
      </c>
      <c r="AQ19" s="4" t="s">
        <v>56</v>
      </c>
      <c r="AR19" s="4" t="s">
        <v>57</v>
      </c>
      <c r="AS19" s="4" t="s">
        <v>58</v>
      </c>
      <c r="AT19" s="4" t="s">
        <v>59</v>
      </c>
      <c r="AU19" s="4" t="s">
        <v>60</v>
      </c>
      <c r="AV19" s="4" t="s">
        <v>61</v>
      </c>
      <c r="AW19" s="4" t="s">
        <v>62</v>
      </c>
      <c r="AX19" s="4" t="s">
        <v>63</v>
      </c>
      <c r="AY19" s="4" t="s">
        <v>64</v>
      </c>
      <c r="AZ19" s="4" t="s">
        <v>65</v>
      </c>
      <c r="BA19" s="4" t="s">
        <v>66</v>
      </c>
      <c r="BB19" s="5" t="s">
        <v>84</v>
      </c>
      <c r="BC19" s="4" t="s">
        <v>55</v>
      </c>
      <c r="BD19" s="4" t="s">
        <v>56</v>
      </c>
      <c r="BE19" s="4" t="s">
        <v>57</v>
      </c>
      <c r="BF19" s="4" t="s">
        <v>58</v>
      </c>
      <c r="BG19" s="4" t="s">
        <v>59</v>
      </c>
      <c r="BH19" s="4" t="s">
        <v>60</v>
      </c>
      <c r="BI19" s="4" t="s">
        <v>61</v>
      </c>
      <c r="BJ19" s="4" t="s">
        <v>62</v>
      </c>
      <c r="BK19" s="4" t="s">
        <v>63</v>
      </c>
      <c r="BL19" s="4" t="s">
        <v>64</v>
      </c>
      <c r="BM19" s="4" t="s">
        <v>65</v>
      </c>
      <c r="BN19" s="4" t="s">
        <v>66</v>
      </c>
      <c r="BO19" s="5" t="s">
        <v>85</v>
      </c>
      <c r="BP19" s="4" t="s">
        <v>55</v>
      </c>
      <c r="BQ19" s="4" t="s">
        <v>56</v>
      </c>
      <c r="BR19" s="4" t="s">
        <v>57</v>
      </c>
      <c r="BS19" s="4" t="s">
        <v>58</v>
      </c>
      <c r="BT19" s="4" t="s">
        <v>59</v>
      </c>
      <c r="BU19" s="4" t="s">
        <v>60</v>
      </c>
      <c r="BV19" s="4" t="s">
        <v>61</v>
      </c>
      <c r="BW19" s="4" t="s">
        <v>62</v>
      </c>
      <c r="BX19" s="4" t="s">
        <v>63</v>
      </c>
      <c r="BY19" s="4" t="s">
        <v>64</v>
      </c>
      <c r="BZ19" s="4" t="s">
        <v>65</v>
      </c>
      <c r="CA19" s="4" t="s">
        <v>66</v>
      </c>
      <c r="CB19" s="5" t="s">
        <v>86</v>
      </c>
    </row>
    <row r="20" spans="2:80" ht="28.05" customHeight="1" x14ac:dyDescent="0.3">
      <c r="B20" s="6" t="s">
        <v>46</v>
      </c>
      <c r="C20" s="7">
        <v>1224421462</v>
      </c>
      <c r="D20" s="7">
        <v>1224421462</v>
      </c>
      <c r="E20" s="7">
        <v>1139453884</v>
      </c>
      <c r="F20" s="7">
        <v>1067186833</v>
      </c>
      <c r="G20" s="7">
        <v>1048239333</v>
      </c>
      <c r="H20" s="7">
        <v>1048217333</v>
      </c>
      <c r="I20" s="7">
        <v>1048217333</v>
      </c>
      <c r="J20" s="7">
        <v>1048116163</v>
      </c>
      <c r="K20" s="7">
        <v>1048116163</v>
      </c>
      <c r="L20" s="7">
        <v>1035718353</v>
      </c>
      <c r="M20" s="7">
        <v>1035625353</v>
      </c>
      <c r="N20" s="7">
        <f>991797481+130932798</f>
        <v>1122730279</v>
      </c>
      <c r="O20" s="8">
        <f t="shared" ref="O20:O25" si="21">N20</f>
        <v>1122730279</v>
      </c>
      <c r="P20" s="7">
        <v>1220635546</v>
      </c>
      <c r="Q20" s="7">
        <v>1220635546</v>
      </c>
      <c r="R20" s="7">
        <v>1220279119</v>
      </c>
      <c r="S20" s="7">
        <v>1220279119</v>
      </c>
      <c r="T20" s="7">
        <v>1218682119</v>
      </c>
      <c r="U20" s="7">
        <v>1218249119</v>
      </c>
      <c r="V20" s="7">
        <v>1092879968</v>
      </c>
      <c r="W20" s="7">
        <v>1092879968</v>
      </c>
      <c r="X20" s="7">
        <v>1082339533</v>
      </c>
      <c r="Y20" s="7">
        <v>1082339533</v>
      </c>
      <c r="Z20" s="7">
        <v>1081913803</v>
      </c>
      <c r="AA20" s="7">
        <v>967670999</v>
      </c>
      <c r="AB20" s="8">
        <f t="shared" ref="AB20:AB25" si="22">AA20</f>
        <v>967670999</v>
      </c>
      <c r="AC20" s="7">
        <v>1913855137</v>
      </c>
      <c r="AD20" s="7">
        <v>1913855137</v>
      </c>
      <c r="AE20" s="7">
        <v>1913855137</v>
      </c>
      <c r="AF20" s="7">
        <v>1893896951</v>
      </c>
      <c r="AG20" s="7">
        <v>1850161211</v>
      </c>
      <c r="AH20" s="7">
        <v>1774161211</v>
      </c>
      <c r="AI20" s="7">
        <v>1774161211</v>
      </c>
      <c r="AJ20" s="7">
        <v>1623406641</v>
      </c>
      <c r="AK20" s="7">
        <v>1620225968</v>
      </c>
      <c r="AL20" s="7">
        <v>1542961468</v>
      </c>
      <c r="AM20" s="7">
        <v>1542961468</v>
      </c>
      <c r="AN20" s="7">
        <v>1427470479</v>
      </c>
      <c r="AO20" s="8">
        <f t="shared" ref="AO20:AO25" si="23">AN20</f>
        <v>1427470479</v>
      </c>
      <c r="AP20" s="7">
        <v>2012684680</v>
      </c>
      <c r="AQ20" s="7">
        <v>2012684680</v>
      </c>
      <c r="AR20" s="7">
        <v>1959842560</v>
      </c>
      <c r="AS20" s="7">
        <v>1959842560</v>
      </c>
      <c r="AT20" s="7">
        <v>1959505267</v>
      </c>
      <c r="AU20" s="7">
        <v>1939427267</v>
      </c>
      <c r="AV20" s="7">
        <v>1939427267</v>
      </c>
      <c r="AW20" s="7">
        <v>1938757501</v>
      </c>
      <c r="AX20" s="7">
        <v>1937457501</v>
      </c>
      <c r="AY20" s="7">
        <v>1929646738</v>
      </c>
      <c r="AZ20" s="7">
        <v>1891922336</v>
      </c>
      <c r="BA20" s="7">
        <v>1608652526</v>
      </c>
      <c r="BB20" s="8">
        <f t="shared" ref="BB20:BB25" si="24">BA20</f>
        <v>1608652526</v>
      </c>
      <c r="BC20" s="7">
        <v>2083103023</v>
      </c>
      <c r="BD20" s="7">
        <v>2083103023</v>
      </c>
      <c r="BE20" s="7">
        <v>2068572694</v>
      </c>
      <c r="BF20" s="7">
        <v>2068438694</v>
      </c>
      <c r="BG20" s="7">
        <v>2067139640</v>
      </c>
      <c r="BH20" s="7">
        <v>1962984489</v>
      </c>
      <c r="BI20" s="7">
        <v>1968056577</v>
      </c>
      <c r="BJ20" s="7">
        <v>1968056577</v>
      </c>
      <c r="BK20" s="7">
        <v>1968056577</v>
      </c>
      <c r="BL20" s="7">
        <v>1968056577</v>
      </c>
      <c r="BM20" s="7">
        <v>1968056577</v>
      </c>
      <c r="BN20" s="7">
        <v>1976677470</v>
      </c>
      <c r="BO20" s="8">
        <f t="shared" ref="BO20:BO25" si="25">BN20</f>
        <v>1976677470</v>
      </c>
      <c r="BP20" s="7">
        <v>1951485600</v>
      </c>
      <c r="BQ20" s="7">
        <v>1951485600</v>
      </c>
      <c r="BR20" s="7">
        <v>1905464563</v>
      </c>
      <c r="BS20" s="7">
        <v>1905464563</v>
      </c>
      <c r="BT20" s="7">
        <v>1817932962</v>
      </c>
      <c r="BU20" s="7">
        <v>1801311962</v>
      </c>
      <c r="BV20" s="7">
        <v>1801311962</v>
      </c>
      <c r="BW20" s="9"/>
      <c r="BX20" s="9"/>
      <c r="BY20" s="9"/>
      <c r="BZ20" s="9"/>
      <c r="CA20" s="9"/>
      <c r="CB20" s="8">
        <f t="shared" ref="CB20:CB25" si="26">BV20</f>
        <v>1801311962</v>
      </c>
    </row>
    <row r="21" spans="2:80" ht="28.05" customHeight="1" x14ac:dyDescent="0.3">
      <c r="B21" s="6" t="s">
        <v>47</v>
      </c>
      <c r="C21" s="7">
        <v>140801596</v>
      </c>
      <c r="D21" s="7">
        <v>140801596</v>
      </c>
      <c r="E21" s="7">
        <v>140801596</v>
      </c>
      <c r="F21" s="7">
        <v>140801596</v>
      </c>
      <c r="G21" s="7">
        <v>133918279</v>
      </c>
      <c r="H21" s="7">
        <v>133918279</v>
      </c>
      <c r="I21" s="7">
        <v>133918279</v>
      </c>
      <c r="J21" s="7">
        <v>133918279</v>
      </c>
      <c r="K21" s="7">
        <v>133918279</v>
      </c>
      <c r="L21" s="7">
        <v>133918279</v>
      </c>
      <c r="M21" s="7">
        <v>133918279</v>
      </c>
      <c r="N21" s="7">
        <f>131504761+8520124</f>
        <v>140024885</v>
      </c>
      <c r="O21" s="8">
        <f t="shared" si="21"/>
        <v>140024885</v>
      </c>
      <c r="P21" s="7">
        <v>147022684</v>
      </c>
      <c r="Q21" s="7">
        <v>147022684</v>
      </c>
      <c r="R21" s="7">
        <v>147022684</v>
      </c>
      <c r="S21" s="7">
        <v>147022684</v>
      </c>
      <c r="T21" s="7">
        <v>147022684</v>
      </c>
      <c r="U21" s="7">
        <v>147022684</v>
      </c>
      <c r="V21" s="7">
        <v>147022684</v>
      </c>
      <c r="W21" s="7">
        <v>146848818</v>
      </c>
      <c r="X21" s="7">
        <v>144824178</v>
      </c>
      <c r="Y21" s="7">
        <v>130697780</v>
      </c>
      <c r="Z21" s="7">
        <v>130518293</v>
      </c>
      <c r="AA21" s="7">
        <v>129672445</v>
      </c>
      <c r="AB21" s="8">
        <f t="shared" si="22"/>
        <v>129672445</v>
      </c>
      <c r="AC21" s="7">
        <v>293591805</v>
      </c>
      <c r="AD21" s="7">
        <v>293591805</v>
      </c>
      <c r="AE21" s="7">
        <v>293591805</v>
      </c>
      <c r="AF21" s="7">
        <v>293591805</v>
      </c>
      <c r="AG21" s="7">
        <v>293591805</v>
      </c>
      <c r="AH21" s="7">
        <v>255048822</v>
      </c>
      <c r="AI21" s="7">
        <v>219099761</v>
      </c>
      <c r="AJ21" s="7">
        <v>212099761</v>
      </c>
      <c r="AK21" s="7">
        <v>212099761</v>
      </c>
      <c r="AL21" s="7">
        <v>212099761</v>
      </c>
      <c r="AM21" s="7">
        <v>212099761</v>
      </c>
      <c r="AN21" s="7">
        <v>198709088</v>
      </c>
      <c r="AO21" s="8">
        <f t="shared" si="23"/>
        <v>198709088</v>
      </c>
      <c r="AP21" s="7">
        <v>295701947</v>
      </c>
      <c r="AQ21" s="7">
        <v>295701947</v>
      </c>
      <c r="AR21" s="7">
        <v>278607232</v>
      </c>
      <c r="AS21" s="7">
        <v>278607232</v>
      </c>
      <c r="AT21" s="7">
        <v>278543079</v>
      </c>
      <c r="AU21" s="7">
        <v>278543079</v>
      </c>
      <c r="AV21" s="7">
        <v>278543079</v>
      </c>
      <c r="AW21" s="7">
        <v>282942267</v>
      </c>
      <c r="AX21" s="7">
        <v>282942267</v>
      </c>
      <c r="AY21" s="7">
        <v>282942267</v>
      </c>
      <c r="AZ21" s="7">
        <v>282942267</v>
      </c>
      <c r="BA21" s="7">
        <v>244313644</v>
      </c>
      <c r="BB21" s="8">
        <f t="shared" si="24"/>
        <v>244313644</v>
      </c>
      <c r="BC21" s="7">
        <v>308121429</v>
      </c>
      <c r="BD21" s="7">
        <v>308121429</v>
      </c>
      <c r="BE21" s="7">
        <v>308121429</v>
      </c>
      <c r="BF21" s="7">
        <v>308121429</v>
      </c>
      <c r="BG21" s="7">
        <v>308121429</v>
      </c>
      <c r="BH21" s="7">
        <v>288121429</v>
      </c>
      <c r="BI21" s="7">
        <v>288121429</v>
      </c>
      <c r="BJ21" s="7">
        <v>288121429</v>
      </c>
      <c r="BK21" s="7">
        <v>288121429</v>
      </c>
      <c r="BL21" s="7">
        <v>284126983</v>
      </c>
      <c r="BM21" s="7">
        <v>284126983</v>
      </c>
      <c r="BN21" s="7">
        <v>255720965</v>
      </c>
      <c r="BO21" s="8">
        <f t="shared" si="25"/>
        <v>255720965</v>
      </c>
      <c r="BP21" s="7">
        <v>195906100</v>
      </c>
      <c r="BQ21" s="7">
        <v>195906100</v>
      </c>
      <c r="BR21" s="7">
        <v>192119100</v>
      </c>
      <c r="BS21" s="7">
        <v>192119100</v>
      </c>
      <c r="BT21" s="7">
        <v>186241917</v>
      </c>
      <c r="BU21" s="7">
        <v>202307917</v>
      </c>
      <c r="BV21" s="7">
        <v>202307917</v>
      </c>
      <c r="BW21" s="9"/>
      <c r="BX21" s="9"/>
      <c r="BY21" s="9"/>
      <c r="BZ21" s="9"/>
      <c r="CA21" s="9"/>
      <c r="CB21" s="8">
        <f t="shared" si="26"/>
        <v>202307917</v>
      </c>
    </row>
    <row r="22" spans="2:80" ht="28.05" customHeight="1" x14ac:dyDescent="0.3">
      <c r="B22" s="6" t="s">
        <v>48</v>
      </c>
      <c r="C22" s="7">
        <v>142048072</v>
      </c>
      <c r="D22" s="7">
        <v>142048072</v>
      </c>
      <c r="E22" s="7">
        <v>142048072</v>
      </c>
      <c r="F22" s="7">
        <v>142048072</v>
      </c>
      <c r="G22" s="7">
        <v>160995572</v>
      </c>
      <c r="H22" s="7">
        <v>160995572</v>
      </c>
      <c r="I22" s="7">
        <v>160995572</v>
      </c>
      <c r="J22" s="7">
        <v>160995572</v>
      </c>
      <c r="K22" s="7">
        <v>160995572</v>
      </c>
      <c r="L22" s="7">
        <v>160995572</v>
      </c>
      <c r="M22" s="7">
        <v>160995572</v>
      </c>
      <c r="N22" s="7">
        <f>142300803+21041416</f>
        <v>163342219</v>
      </c>
      <c r="O22" s="8">
        <f t="shared" si="21"/>
        <v>163342219</v>
      </c>
      <c r="P22" s="7">
        <v>148440561</v>
      </c>
      <c r="Q22" s="7">
        <v>148440561</v>
      </c>
      <c r="R22" s="7">
        <v>148440561</v>
      </c>
      <c r="S22" s="7">
        <v>148440561</v>
      </c>
      <c r="T22" s="7">
        <v>148440561</v>
      </c>
      <c r="U22" s="7">
        <v>148440561</v>
      </c>
      <c r="V22" s="7">
        <v>148440561</v>
      </c>
      <c r="W22" s="7">
        <v>148440561</v>
      </c>
      <c r="X22" s="7">
        <v>148440561</v>
      </c>
      <c r="Y22" s="7">
        <v>141404870</v>
      </c>
      <c r="Z22" s="7">
        <v>141404870</v>
      </c>
      <c r="AA22" s="7">
        <v>110932143</v>
      </c>
      <c r="AB22" s="8">
        <f t="shared" si="22"/>
        <v>110932143</v>
      </c>
      <c r="AC22" s="7">
        <v>295780655</v>
      </c>
      <c r="AD22" s="7">
        <v>295780655</v>
      </c>
      <c r="AE22" s="7">
        <v>295780655</v>
      </c>
      <c r="AF22" s="7">
        <v>295780655</v>
      </c>
      <c r="AG22" s="7">
        <v>295780655</v>
      </c>
      <c r="AH22" s="7">
        <v>275780655</v>
      </c>
      <c r="AI22" s="7">
        <v>309887671</v>
      </c>
      <c r="AJ22" s="7">
        <v>309887671</v>
      </c>
      <c r="AK22" s="7">
        <v>309887671</v>
      </c>
      <c r="AL22" s="7">
        <v>299857312</v>
      </c>
      <c r="AM22" s="7">
        <v>265750296</v>
      </c>
      <c r="AN22" s="7">
        <v>249472319</v>
      </c>
      <c r="AO22" s="8">
        <f t="shared" si="23"/>
        <v>249472319</v>
      </c>
      <c r="AP22" s="7">
        <v>315696642</v>
      </c>
      <c r="AQ22" s="7">
        <v>315696642</v>
      </c>
      <c r="AR22" s="7">
        <v>315696642</v>
      </c>
      <c r="AS22" s="7">
        <v>232705862</v>
      </c>
      <c r="AT22" s="7">
        <v>232705862</v>
      </c>
      <c r="AU22" s="7">
        <v>232705862</v>
      </c>
      <c r="AV22" s="7">
        <v>232705862</v>
      </c>
      <c r="AW22" s="7">
        <v>227906674</v>
      </c>
      <c r="AX22" s="7">
        <v>227906674</v>
      </c>
      <c r="AY22" s="7">
        <v>227906674</v>
      </c>
      <c r="AZ22" s="7">
        <v>227906674</v>
      </c>
      <c r="BA22" s="7">
        <v>192186387</v>
      </c>
      <c r="BB22" s="8">
        <f t="shared" si="24"/>
        <v>192186387</v>
      </c>
      <c r="BC22" s="7">
        <v>329603442</v>
      </c>
      <c r="BD22" s="7">
        <v>329603442</v>
      </c>
      <c r="BE22" s="7">
        <v>307603442</v>
      </c>
      <c r="BF22" s="7">
        <v>307603442</v>
      </c>
      <c r="BG22" s="7">
        <v>307603442</v>
      </c>
      <c r="BH22" s="7">
        <v>284751010</v>
      </c>
      <c r="BI22" s="7">
        <v>284751010</v>
      </c>
      <c r="BJ22" s="7">
        <v>284751010</v>
      </c>
      <c r="BK22" s="7">
        <v>284751010</v>
      </c>
      <c r="BL22" s="7">
        <v>273184204</v>
      </c>
      <c r="BM22" s="7">
        <v>273184204</v>
      </c>
      <c r="BN22" s="7">
        <v>234336066</v>
      </c>
      <c r="BO22" s="8">
        <f t="shared" si="25"/>
        <v>234336066</v>
      </c>
      <c r="BP22" s="7">
        <v>290113797</v>
      </c>
      <c r="BQ22" s="7">
        <v>290113797</v>
      </c>
      <c r="BR22" s="7">
        <v>282113797</v>
      </c>
      <c r="BS22" s="7">
        <v>282113797</v>
      </c>
      <c r="BT22" s="7">
        <v>273410383</v>
      </c>
      <c r="BU22" s="7">
        <v>273410383</v>
      </c>
      <c r="BV22" s="7">
        <v>273410383</v>
      </c>
      <c r="BW22" s="9"/>
      <c r="BX22" s="9"/>
      <c r="BY22" s="9"/>
      <c r="BZ22" s="9"/>
      <c r="CA22" s="9"/>
      <c r="CB22" s="8">
        <f t="shared" si="26"/>
        <v>273410383</v>
      </c>
    </row>
    <row r="23" spans="2:80" ht="28.05" customHeight="1" x14ac:dyDescent="0.3">
      <c r="B23" s="6" t="s">
        <v>49</v>
      </c>
      <c r="C23" s="7">
        <v>73670723</v>
      </c>
      <c r="D23" s="7">
        <v>73670723</v>
      </c>
      <c r="E23" s="7">
        <v>73670723</v>
      </c>
      <c r="F23" s="7">
        <v>73670723</v>
      </c>
      <c r="G23" s="7">
        <v>73670723</v>
      </c>
      <c r="H23" s="7">
        <v>73670723</v>
      </c>
      <c r="I23" s="7">
        <v>73670723</v>
      </c>
      <c r="J23" s="7">
        <v>73670723</v>
      </c>
      <c r="K23" s="7">
        <v>73670723</v>
      </c>
      <c r="L23" s="7">
        <v>73670723</v>
      </c>
      <c r="M23" s="7">
        <v>73670723</v>
      </c>
      <c r="N23" s="7">
        <f>73116242+62000</f>
        <v>73178242</v>
      </c>
      <c r="O23" s="8">
        <f t="shared" si="21"/>
        <v>73178242</v>
      </c>
      <c r="P23" s="7">
        <v>76882481</v>
      </c>
      <c r="Q23" s="7">
        <v>76882481</v>
      </c>
      <c r="R23" s="7">
        <v>76882481</v>
      </c>
      <c r="S23" s="7">
        <v>76882481</v>
      </c>
      <c r="T23" s="7">
        <v>76882481</v>
      </c>
      <c r="U23" s="7">
        <v>76882481</v>
      </c>
      <c r="V23" s="7">
        <v>76882481</v>
      </c>
      <c r="W23" s="7">
        <v>76882481</v>
      </c>
      <c r="X23" s="7">
        <v>76882481</v>
      </c>
      <c r="Y23" s="7">
        <v>76882481</v>
      </c>
      <c r="Z23" s="7">
        <v>76882481</v>
      </c>
      <c r="AA23" s="7">
        <v>64614673</v>
      </c>
      <c r="AB23" s="8">
        <f t="shared" si="22"/>
        <v>64614673</v>
      </c>
      <c r="AC23" s="7">
        <v>115171552</v>
      </c>
      <c r="AD23" s="7">
        <v>115171552</v>
      </c>
      <c r="AE23" s="7">
        <v>115171552</v>
      </c>
      <c r="AF23" s="7">
        <v>115171552</v>
      </c>
      <c r="AG23" s="7">
        <v>115171552</v>
      </c>
      <c r="AH23" s="7">
        <v>115171552</v>
      </c>
      <c r="AI23" s="7">
        <v>115171552</v>
      </c>
      <c r="AJ23" s="7">
        <v>115171552</v>
      </c>
      <c r="AK23" s="7">
        <v>115171552</v>
      </c>
      <c r="AL23" s="7">
        <v>108472329</v>
      </c>
      <c r="AM23" s="7">
        <v>108472329</v>
      </c>
      <c r="AN23" s="7">
        <v>104861138</v>
      </c>
      <c r="AO23" s="8">
        <f t="shared" si="23"/>
        <v>104861138</v>
      </c>
      <c r="AP23" s="7">
        <v>127117895</v>
      </c>
      <c r="AQ23" s="7">
        <v>127117895</v>
      </c>
      <c r="AR23" s="7">
        <v>127117895</v>
      </c>
      <c r="AS23" s="7">
        <v>127117895</v>
      </c>
      <c r="AT23" s="7">
        <v>127117895</v>
      </c>
      <c r="AU23" s="7">
        <v>127117895</v>
      </c>
      <c r="AV23" s="7">
        <v>127117895</v>
      </c>
      <c r="AW23" s="7">
        <v>127117895</v>
      </c>
      <c r="AX23" s="7">
        <v>127117895</v>
      </c>
      <c r="AY23" s="7">
        <v>127117895</v>
      </c>
      <c r="AZ23" s="7">
        <v>127117895</v>
      </c>
      <c r="BA23" s="7">
        <v>123682417</v>
      </c>
      <c r="BB23" s="8">
        <f t="shared" si="24"/>
        <v>123682417</v>
      </c>
      <c r="BC23" s="7">
        <v>125417585</v>
      </c>
      <c r="BD23" s="7">
        <v>125417585</v>
      </c>
      <c r="BE23" s="7">
        <v>139947914</v>
      </c>
      <c r="BF23" s="7">
        <v>139947914</v>
      </c>
      <c r="BG23" s="7">
        <v>139947914</v>
      </c>
      <c r="BH23" s="7">
        <v>139947914</v>
      </c>
      <c r="BI23" s="7">
        <v>145917564</v>
      </c>
      <c r="BJ23" s="7">
        <v>145917564</v>
      </c>
      <c r="BK23" s="7">
        <v>145917564</v>
      </c>
      <c r="BL23" s="7">
        <v>151478816</v>
      </c>
      <c r="BM23" s="7">
        <v>151478816</v>
      </c>
      <c r="BN23" s="7">
        <v>143006856</v>
      </c>
      <c r="BO23" s="8">
        <f t="shared" si="25"/>
        <v>143006856</v>
      </c>
      <c r="BP23" s="7">
        <v>109909690</v>
      </c>
      <c r="BQ23" s="7">
        <v>109909690</v>
      </c>
      <c r="BR23" s="7">
        <v>109909690</v>
      </c>
      <c r="BS23" s="7">
        <v>109909690</v>
      </c>
      <c r="BT23" s="7">
        <v>106612399</v>
      </c>
      <c r="BU23" s="7">
        <v>106612399</v>
      </c>
      <c r="BV23" s="7">
        <v>106612399</v>
      </c>
      <c r="BW23" s="9"/>
      <c r="BX23" s="9"/>
      <c r="BY23" s="9"/>
      <c r="BZ23" s="9"/>
      <c r="CA23" s="9"/>
      <c r="CB23" s="8">
        <f t="shared" si="26"/>
        <v>106612399</v>
      </c>
    </row>
    <row r="24" spans="2:80" ht="28.05" customHeight="1" x14ac:dyDescent="0.3">
      <c r="B24" s="6" t="s">
        <v>50</v>
      </c>
      <c r="C24" s="7">
        <v>60144148</v>
      </c>
      <c r="D24" s="7">
        <v>60144148</v>
      </c>
      <c r="E24" s="7">
        <v>60144148</v>
      </c>
      <c r="F24" s="7">
        <v>60144148</v>
      </c>
      <c r="G24" s="7">
        <v>60144148</v>
      </c>
      <c r="H24" s="7">
        <v>60144148</v>
      </c>
      <c r="I24" s="7">
        <v>60144148</v>
      </c>
      <c r="J24" s="7">
        <v>60144148</v>
      </c>
      <c r="K24" s="7">
        <v>60144148</v>
      </c>
      <c r="L24" s="7">
        <v>60144148</v>
      </c>
      <c r="M24" s="7">
        <v>60144148</v>
      </c>
      <c r="N24" s="7">
        <f>57087148+74000</f>
        <v>57161148</v>
      </c>
      <c r="O24" s="8">
        <f t="shared" si="21"/>
        <v>57161148</v>
      </c>
      <c r="P24" s="7">
        <v>62797413</v>
      </c>
      <c r="Q24" s="7">
        <v>62797413</v>
      </c>
      <c r="R24" s="7">
        <v>62797413</v>
      </c>
      <c r="S24" s="7">
        <v>62797413</v>
      </c>
      <c r="T24" s="7">
        <v>62712374</v>
      </c>
      <c r="U24" s="7">
        <v>62712374</v>
      </c>
      <c r="V24" s="7">
        <v>62487413</v>
      </c>
      <c r="W24" s="7">
        <v>62487413</v>
      </c>
      <c r="X24" s="7">
        <v>62487413</v>
      </c>
      <c r="Y24" s="7">
        <v>62487413</v>
      </c>
      <c r="Z24" s="7">
        <v>62487413</v>
      </c>
      <c r="AA24" s="7">
        <v>66143610</v>
      </c>
      <c r="AB24" s="8">
        <f t="shared" si="22"/>
        <v>66143610</v>
      </c>
      <c r="AC24" s="7">
        <v>135318267</v>
      </c>
      <c r="AD24" s="7">
        <v>135318267</v>
      </c>
      <c r="AE24" s="7">
        <v>135318267</v>
      </c>
      <c r="AF24" s="7">
        <v>135318267</v>
      </c>
      <c r="AG24" s="7">
        <v>135318267</v>
      </c>
      <c r="AH24" s="7">
        <v>135318267</v>
      </c>
      <c r="AI24" s="7">
        <v>135318267</v>
      </c>
      <c r="AJ24" s="7">
        <v>135318267</v>
      </c>
      <c r="AK24" s="7">
        <v>135318267</v>
      </c>
      <c r="AL24" s="7">
        <v>131318267</v>
      </c>
      <c r="AM24" s="7">
        <v>131318267</v>
      </c>
      <c r="AN24" s="7">
        <v>123846968</v>
      </c>
      <c r="AO24" s="8">
        <f t="shared" si="23"/>
        <v>123846968</v>
      </c>
      <c r="AP24" s="7">
        <v>137741639</v>
      </c>
      <c r="AQ24" s="7">
        <v>137741639</v>
      </c>
      <c r="AR24" s="7">
        <v>137741639</v>
      </c>
      <c r="AS24" s="7">
        <v>135914151</v>
      </c>
      <c r="AT24" s="7">
        <v>135885801</v>
      </c>
      <c r="AU24" s="7">
        <v>135885801</v>
      </c>
      <c r="AV24" s="7">
        <v>135885801</v>
      </c>
      <c r="AW24" s="7">
        <v>135885801</v>
      </c>
      <c r="AX24" s="7">
        <v>135885801</v>
      </c>
      <c r="AY24" s="7">
        <v>137734161</v>
      </c>
      <c r="AZ24" s="7">
        <v>137734161</v>
      </c>
      <c r="BA24" s="7">
        <v>121300022</v>
      </c>
      <c r="BB24" s="8">
        <f t="shared" si="24"/>
        <v>121300022</v>
      </c>
      <c r="BC24" s="7">
        <v>141825431</v>
      </c>
      <c r="BD24" s="7">
        <v>141825431</v>
      </c>
      <c r="BE24" s="7">
        <v>141825431</v>
      </c>
      <c r="BF24" s="7">
        <v>141825431</v>
      </c>
      <c r="BG24" s="7">
        <v>141825431</v>
      </c>
      <c r="BH24" s="7">
        <v>141825431</v>
      </c>
      <c r="BI24" s="7">
        <v>141825431</v>
      </c>
      <c r="BJ24" s="7">
        <v>141825431</v>
      </c>
      <c r="BK24" s="7">
        <v>141825431</v>
      </c>
      <c r="BL24" s="7">
        <v>141825431</v>
      </c>
      <c r="BM24" s="7">
        <v>141825431</v>
      </c>
      <c r="BN24" s="7">
        <v>143001334</v>
      </c>
      <c r="BO24" s="8">
        <f t="shared" si="25"/>
        <v>143001334</v>
      </c>
      <c r="BP24" s="7">
        <v>127610750</v>
      </c>
      <c r="BQ24" s="7">
        <v>127610750</v>
      </c>
      <c r="BR24" s="7">
        <v>127610750</v>
      </c>
      <c r="BS24" s="7">
        <v>127610750</v>
      </c>
      <c r="BT24" s="7">
        <v>124345173</v>
      </c>
      <c r="BU24" s="7">
        <v>124345173</v>
      </c>
      <c r="BV24" s="7">
        <v>124345173</v>
      </c>
      <c r="BW24" s="9"/>
      <c r="BX24" s="9"/>
      <c r="BY24" s="9"/>
      <c r="BZ24" s="9"/>
      <c r="CA24" s="9"/>
      <c r="CB24" s="8">
        <f t="shared" si="26"/>
        <v>124345173</v>
      </c>
    </row>
    <row r="25" spans="2:80" ht="28.05" customHeight="1" x14ac:dyDescent="0.3">
      <c r="B25" s="6" t="s">
        <v>51</v>
      </c>
      <c r="C25" s="7">
        <f>11904427+3610789</f>
        <v>15515216</v>
      </c>
      <c r="D25" s="7">
        <f>11904427+5306607</f>
        <v>17211034</v>
      </c>
      <c r="E25" s="7">
        <f>11904427+5306607</f>
        <v>17211034</v>
      </c>
      <c r="F25" s="7">
        <f>11904427+5306607</f>
        <v>17211034</v>
      </c>
      <c r="G25" s="7">
        <f>11904427+5306607</f>
        <v>17211034</v>
      </c>
      <c r="H25" s="7">
        <f>11904427+4045033</f>
        <v>15949460</v>
      </c>
      <c r="I25" s="7">
        <f>11904427+4045033</f>
        <v>15949460</v>
      </c>
      <c r="J25" s="7">
        <f>11904427+4045033</f>
        <v>15949460</v>
      </c>
      <c r="K25" s="7">
        <f>11904427+3610416</f>
        <v>15514843</v>
      </c>
      <c r="L25" s="7">
        <f>11904427+3610416</f>
        <v>15514843</v>
      </c>
      <c r="M25" s="7">
        <f>11904427+3610416</f>
        <v>15514843</v>
      </c>
      <c r="N25" s="7">
        <f>7205919+7501242</f>
        <v>14707161</v>
      </c>
      <c r="O25" s="8">
        <f t="shared" si="21"/>
        <v>14707161</v>
      </c>
      <c r="P25" s="7">
        <f>8974172+22634181</f>
        <v>31608353</v>
      </c>
      <c r="Q25" s="7">
        <f>8974172+22634181</f>
        <v>31608353</v>
      </c>
      <c r="R25" s="7">
        <f>8974172+10297833</f>
        <v>19272005</v>
      </c>
      <c r="S25" s="7">
        <f>8974172+10297833</f>
        <v>19272005</v>
      </c>
      <c r="T25" s="7">
        <f>8974172+10297833</f>
        <v>19272005</v>
      </c>
      <c r="U25" s="7">
        <f>8974172+9873845</f>
        <v>18848017</v>
      </c>
      <c r="V25" s="7">
        <v>8974172</v>
      </c>
      <c r="W25" s="7">
        <v>8890172</v>
      </c>
      <c r="X25" s="7">
        <v>8890172</v>
      </c>
      <c r="Y25" s="7">
        <v>8663807</v>
      </c>
      <c r="Z25" s="7">
        <v>7863807</v>
      </c>
      <c r="AA25" s="7">
        <v>7392258</v>
      </c>
      <c r="AB25" s="8">
        <f t="shared" si="22"/>
        <v>7392258</v>
      </c>
      <c r="AC25" s="7">
        <v>37590026</v>
      </c>
      <c r="AD25" s="7">
        <v>36790026</v>
      </c>
      <c r="AE25" s="7">
        <v>36790026</v>
      </c>
      <c r="AF25" s="7">
        <v>36790026</v>
      </c>
      <c r="AG25" s="7">
        <v>36790026</v>
      </c>
      <c r="AH25" s="7">
        <v>32790026</v>
      </c>
      <c r="AI25" s="7">
        <v>32790026</v>
      </c>
      <c r="AJ25" s="7">
        <v>32707536</v>
      </c>
      <c r="AK25" s="7">
        <v>32707536</v>
      </c>
      <c r="AL25" s="7">
        <v>31426536</v>
      </c>
      <c r="AM25" s="7">
        <v>8720551</v>
      </c>
      <c r="AN25" s="7">
        <v>8559879</v>
      </c>
      <c r="AO25" s="8">
        <f t="shared" si="23"/>
        <v>8559879</v>
      </c>
      <c r="AP25" s="7">
        <v>44570138</v>
      </c>
      <c r="AQ25" s="7">
        <v>44570138</v>
      </c>
      <c r="AR25" s="7">
        <v>44570138</v>
      </c>
      <c r="AS25" s="7">
        <v>44570138</v>
      </c>
      <c r="AT25" s="7">
        <v>44670138</v>
      </c>
      <c r="AU25" s="7">
        <v>44670138</v>
      </c>
      <c r="AV25" s="7">
        <v>44670138</v>
      </c>
      <c r="AW25" s="7">
        <v>41933638</v>
      </c>
      <c r="AX25" s="7">
        <v>41744274</v>
      </c>
      <c r="AY25" s="7">
        <v>41744274</v>
      </c>
      <c r="AZ25" s="7">
        <v>41673300</v>
      </c>
      <c r="BA25" s="7">
        <v>33685852</v>
      </c>
      <c r="BB25" s="8">
        <f t="shared" si="24"/>
        <v>33685852</v>
      </c>
      <c r="BC25" s="7">
        <v>57109595</v>
      </c>
      <c r="BD25" s="7">
        <v>57109595</v>
      </c>
      <c r="BE25" s="7">
        <v>84609595</v>
      </c>
      <c r="BF25" s="7">
        <v>84609595</v>
      </c>
      <c r="BG25" s="7">
        <v>77572649</v>
      </c>
      <c r="BH25" s="7">
        <v>77572649</v>
      </c>
      <c r="BI25" s="7">
        <v>77594122</v>
      </c>
      <c r="BJ25" s="7">
        <v>77456003</v>
      </c>
      <c r="BK25" s="7">
        <v>77456003</v>
      </c>
      <c r="BL25" s="7">
        <v>77456003</v>
      </c>
      <c r="BM25" s="7">
        <v>77456003</v>
      </c>
      <c r="BN25" s="7">
        <v>55621639</v>
      </c>
      <c r="BO25" s="8">
        <f t="shared" si="25"/>
        <v>55621639</v>
      </c>
      <c r="BP25" s="7">
        <v>30479549</v>
      </c>
      <c r="BQ25" s="7">
        <v>30479549</v>
      </c>
      <c r="BR25" s="7">
        <v>30479549</v>
      </c>
      <c r="BS25" s="7">
        <v>30479549</v>
      </c>
      <c r="BT25" s="7">
        <v>29565163</v>
      </c>
      <c r="BU25" s="7">
        <v>29565163</v>
      </c>
      <c r="BV25" s="7">
        <v>29565163</v>
      </c>
      <c r="BW25" s="9"/>
      <c r="BX25" s="9"/>
      <c r="BY25" s="9"/>
      <c r="BZ25" s="9"/>
      <c r="CA25" s="9"/>
      <c r="CB25" s="8">
        <f t="shared" si="26"/>
        <v>29565163</v>
      </c>
    </row>
    <row r="26" spans="2:80" ht="22.05" customHeight="1" x14ac:dyDescent="0.3">
      <c r="B26" s="3" t="s">
        <v>87</v>
      </c>
      <c r="C26" s="10">
        <f t="shared" ref="C26:AH26" si="27">SUM(C20:C25)</f>
        <v>1656601217</v>
      </c>
      <c r="D26" s="10">
        <f t="shared" si="27"/>
        <v>1658297035</v>
      </c>
      <c r="E26" s="10">
        <f t="shared" si="27"/>
        <v>1573329457</v>
      </c>
      <c r="F26" s="10">
        <f t="shared" si="27"/>
        <v>1501062406</v>
      </c>
      <c r="G26" s="10">
        <f t="shared" si="27"/>
        <v>1494179089</v>
      </c>
      <c r="H26" s="10">
        <f t="shared" si="27"/>
        <v>1492895515</v>
      </c>
      <c r="I26" s="10">
        <f t="shared" si="27"/>
        <v>1492895515</v>
      </c>
      <c r="J26" s="10">
        <f t="shared" si="27"/>
        <v>1492794345</v>
      </c>
      <c r="K26" s="10">
        <f t="shared" si="27"/>
        <v>1492359728</v>
      </c>
      <c r="L26" s="10">
        <f t="shared" si="27"/>
        <v>1479961918</v>
      </c>
      <c r="M26" s="10">
        <f t="shared" si="27"/>
        <v>1479868918</v>
      </c>
      <c r="N26" s="10">
        <f t="shared" si="27"/>
        <v>1571143934</v>
      </c>
      <c r="O26" s="10">
        <f t="shared" si="27"/>
        <v>1571143934</v>
      </c>
      <c r="P26" s="10">
        <f t="shared" si="27"/>
        <v>1687387038</v>
      </c>
      <c r="Q26" s="10">
        <f t="shared" si="27"/>
        <v>1687387038</v>
      </c>
      <c r="R26" s="10">
        <f t="shared" si="27"/>
        <v>1674694263</v>
      </c>
      <c r="S26" s="10">
        <f t="shared" si="27"/>
        <v>1674694263</v>
      </c>
      <c r="T26" s="10">
        <f t="shared" si="27"/>
        <v>1673012224</v>
      </c>
      <c r="U26" s="10">
        <f t="shared" si="27"/>
        <v>1672155236</v>
      </c>
      <c r="V26" s="10">
        <f t="shared" si="27"/>
        <v>1536687279</v>
      </c>
      <c r="W26" s="10">
        <f t="shared" si="27"/>
        <v>1536429413</v>
      </c>
      <c r="X26" s="10">
        <f t="shared" si="27"/>
        <v>1523864338</v>
      </c>
      <c r="Y26" s="10">
        <f t="shared" si="27"/>
        <v>1502475884</v>
      </c>
      <c r="Z26" s="10">
        <f t="shared" si="27"/>
        <v>1501070667</v>
      </c>
      <c r="AA26" s="10">
        <f t="shared" si="27"/>
        <v>1346426128</v>
      </c>
      <c r="AB26" s="10">
        <f t="shared" si="27"/>
        <v>1346426128</v>
      </c>
      <c r="AC26" s="10">
        <f t="shared" si="27"/>
        <v>2791307442</v>
      </c>
      <c r="AD26" s="10">
        <f t="shared" si="27"/>
        <v>2790507442</v>
      </c>
      <c r="AE26" s="10">
        <f t="shared" si="27"/>
        <v>2790507442</v>
      </c>
      <c r="AF26" s="10">
        <f t="shared" si="27"/>
        <v>2770549256</v>
      </c>
      <c r="AG26" s="10">
        <f t="shared" si="27"/>
        <v>2726813516</v>
      </c>
      <c r="AH26" s="10">
        <f t="shared" si="27"/>
        <v>2588270533</v>
      </c>
      <c r="AI26" s="10">
        <f t="shared" ref="AI26:BN26" si="28">SUM(AI20:AI25)</f>
        <v>2586428488</v>
      </c>
      <c r="AJ26" s="10">
        <f t="shared" si="28"/>
        <v>2428591428</v>
      </c>
      <c r="AK26" s="10">
        <f t="shared" si="28"/>
        <v>2425410755</v>
      </c>
      <c r="AL26" s="10">
        <f t="shared" si="28"/>
        <v>2326135673</v>
      </c>
      <c r="AM26" s="10">
        <f t="shared" si="28"/>
        <v>2269322672</v>
      </c>
      <c r="AN26" s="10">
        <f t="shared" si="28"/>
        <v>2112919871</v>
      </c>
      <c r="AO26" s="10">
        <f t="shared" si="28"/>
        <v>2112919871</v>
      </c>
      <c r="AP26" s="10">
        <f t="shared" si="28"/>
        <v>2933512941</v>
      </c>
      <c r="AQ26" s="10">
        <f t="shared" si="28"/>
        <v>2933512941</v>
      </c>
      <c r="AR26" s="10">
        <f t="shared" si="28"/>
        <v>2863576106</v>
      </c>
      <c r="AS26" s="10">
        <f t="shared" si="28"/>
        <v>2778757838</v>
      </c>
      <c r="AT26" s="10">
        <f t="shared" si="28"/>
        <v>2778428042</v>
      </c>
      <c r="AU26" s="10">
        <f t="shared" si="28"/>
        <v>2758350042</v>
      </c>
      <c r="AV26" s="10">
        <f t="shared" si="28"/>
        <v>2758350042</v>
      </c>
      <c r="AW26" s="10">
        <f t="shared" si="28"/>
        <v>2754543776</v>
      </c>
      <c r="AX26" s="10">
        <f t="shared" si="28"/>
        <v>2753054412</v>
      </c>
      <c r="AY26" s="10">
        <f t="shared" si="28"/>
        <v>2747092009</v>
      </c>
      <c r="AZ26" s="10">
        <f t="shared" si="28"/>
        <v>2709296633</v>
      </c>
      <c r="BA26" s="10">
        <f t="shared" si="28"/>
        <v>2323820848</v>
      </c>
      <c r="BB26" s="10">
        <f t="shared" si="28"/>
        <v>2323820848</v>
      </c>
      <c r="BC26" s="10">
        <f t="shared" si="28"/>
        <v>3045180505</v>
      </c>
      <c r="BD26" s="10">
        <f t="shared" si="28"/>
        <v>3045180505</v>
      </c>
      <c r="BE26" s="10">
        <f t="shared" si="28"/>
        <v>3050680505</v>
      </c>
      <c r="BF26" s="10">
        <f t="shared" si="28"/>
        <v>3050546505</v>
      </c>
      <c r="BG26" s="10">
        <f t="shared" si="28"/>
        <v>3042210505</v>
      </c>
      <c r="BH26" s="10">
        <f t="shared" si="28"/>
        <v>2895202922</v>
      </c>
      <c r="BI26" s="10">
        <f t="shared" si="28"/>
        <v>2906266133</v>
      </c>
      <c r="BJ26" s="10">
        <f t="shared" si="28"/>
        <v>2906128014</v>
      </c>
      <c r="BK26" s="10">
        <f t="shared" si="28"/>
        <v>2906128014</v>
      </c>
      <c r="BL26" s="10">
        <f t="shared" si="28"/>
        <v>2896128014</v>
      </c>
      <c r="BM26" s="10">
        <f t="shared" si="28"/>
        <v>2896128014</v>
      </c>
      <c r="BN26" s="10">
        <f t="shared" si="28"/>
        <v>2808364330</v>
      </c>
      <c r="BO26" s="10">
        <f t="shared" ref="BO26:CB26" si="29">SUM(BO20:BO25)</f>
        <v>2808364330</v>
      </c>
      <c r="BP26" s="10">
        <f t="shared" si="29"/>
        <v>2705505486</v>
      </c>
      <c r="BQ26" s="10">
        <f t="shared" si="29"/>
        <v>2705505486</v>
      </c>
      <c r="BR26" s="10">
        <f t="shared" si="29"/>
        <v>2647697449</v>
      </c>
      <c r="BS26" s="10">
        <f t="shared" si="29"/>
        <v>2647697449</v>
      </c>
      <c r="BT26" s="10">
        <f t="shared" si="29"/>
        <v>2538107997</v>
      </c>
      <c r="BU26" s="10">
        <f t="shared" si="29"/>
        <v>2537552997</v>
      </c>
      <c r="BV26" s="10">
        <f t="shared" si="29"/>
        <v>2537552997</v>
      </c>
      <c r="BW26" s="10">
        <f t="shared" si="29"/>
        <v>0</v>
      </c>
      <c r="BX26" s="10">
        <f t="shared" si="29"/>
        <v>0</v>
      </c>
      <c r="BY26" s="10">
        <f t="shared" si="29"/>
        <v>0</v>
      </c>
      <c r="BZ26" s="10">
        <f t="shared" si="29"/>
        <v>0</v>
      </c>
      <c r="CA26" s="10">
        <f t="shared" si="29"/>
        <v>0</v>
      </c>
      <c r="CB26" s="10">
        <f t="shared" si="29"/>
        <v>2537552997</v>
      </c>
    </row>
    <row r="27" spans="2:80" x14ac:dyDescent="0.3">
      <c r="B27" s="58" t="s">
        <v>90</v>
      </c>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row>
    <row r="29" spans="2:80" ht="16.05" customHeight="1" x14ac:dyDescent="0.3">
      <c r="B29" s="62" t="s">
        <v>91</v>
      </c>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row>
    <row r="30" spans="2:80" ht="22.05" customHeight="1" x14ac:dyDescent="0.3">
      <c r="B30" s="2"/>
      <c r="C30" s="60" t="s">
        <v>78</v>
      </c>
      <c r="D30" s="61"/>
      <c r="E30" s="61"/>
      <c r="F30" s="61"/>
      <c r="G30" s="61"/>
      <c r="H30" s="61"/>
      <c r="I30" s="61"/>
      <c r="J30" s="61"/>
      <c r="K30" s="61"/>
      <c r="L30" s="61"/>
      <c r="M30" s="61"/>
      <c r="N30" s="61"/>
      <c r="O30" s="61"/>
      <c r="P30" s="60" t="s">
        <v>79</v>
      </c>
      <c r="Q30" s="61"/>
      <c r="R30" s="61"/>
      <c r="S30" s="61"/>
      <c r="T30" s="61"/>
      <c r="U30" s="61"/>
      <c r="V30" s="61"/>
      <c r="W30" s="61"/>
      <c r="X30" s="61"/>
      <c r="Y30" s="61"/>
      <c r="Z30" s="61"/>
      <c r="AA30" s="61"/>
      <c r="AB30" s="61"/>
      <c r="AC30" s="60">
        <v>2023</v>
      </c>
      <c r="AD30" s="61"/>
      <c r="AE30" s="61"/>
      <c r="AF30" s="61"/>
      <c r="AG30" s="61"/>
      <c r="AH30" s="61"/>
      <c r="AI30" s="61"/>
      <c r="AJ30" s="61"/>
      <c r="AK30" s="61"/>
      <c r="AL30" s="61"/>
      <c r="AM30" s="61"/>
      <c r="AN30" s="61"/>
      <c r="AO30" s="61"/>
      <c r="AP30" s="60">
        <v>2024</v>
      </c>
      <c r="AQ30" s="61"/>
      <c r="AR30" s="61"/>
      <c r="AS30" s="61"/>
      <c r="AT30" s="61"/>
      <c r="AU30" s="61"/>
      <c r="AV30" s="61"/>
      <c r="AW30" s="61"/>
      <c r="AX30" s="61"/>
      <c r="AY30" s="61"/>
      <c r="AZ30" s="61"/>
      <c r="BA30" s="61"/>
      <c r="BB30" s="61"/>
      <c r="BC30" s="60">
        <v>2025</v>
      </c>
      <c r="BD30" s="61"/>
      <c r="BE30" s="61"/>
      <c r="BF30" s="61"/>
      <c r="BG30" s="61"/>
      <c r="BH30" s="61"/>
      <c r="BI30" s="61"/>
      <c r="BJ30" s="61"/>
      <c r="BK30" s="61"/>
      <c r="BL30" s="61"/>
      <c r="BM30" s="61"/>
      <c r="BN30" s="61"/>
      <c r="BO30" s="61"/>
      <c r="BP30" s="60">
        <v>2026</v>
      </c>
      <c r="BQ30" s="61"/>
      <c r="BR30" s="61"/>
      <c r="BS30" s="61"/>
      <c r="BT30" s="61"/>
      <c r="BU30" s="61"/>
      <c r="BV30" s="61"/>
      <c r="BW30" s="61"/>
      <c r="BX30" s="61"/>
      <c r="BY30" s="61"/>
      <c r="BZ30" s="61"/>
      <c r="CA30" s="61"/>
      <c r="CB30" s="61"/>
    </row>
    <row r="31" spans="2:80" ht="28.05" customHeight="1" x14ac:dyDescent="0.3">
      <c r="B31" s="3" t="s">
        <v>80</v>
      </c>
      <c r="C31" s="4" t="s">
        <v>55</v>
      </c>
      <c r="D31" s="4" t="s">
        <v>56</v>
      </c>
      <c r="E31" s="4" t="s">
        <v>57</v>
      </c>
      <c r="F31" s="4" t="s">
        <v>58</v>
      </c>
      <c r="G31" s="4" t="s">
        <v>59</v>
      </c>
      <c r="H31" s="4" t="s">
        <v>60</v>
      </c>
      <c r="I31" s="4" t="s">
        <v>61</v>
      </c>
      <c r="J31" s="4" t="s">
        <v>62</v>
      </c>
      <c r="K31" s="4" t="s">
        <v>63</v>
      </c>
      <c r="L31" s="4" t="s">
        <v>64</v>
      </c>
      <c r="M31" s="4" t="s">
        <v>65</v>
      </c>
      <c r="N31" s="4" t="s">
        <v>66</v>
      </c>
      <c r="O31" s="5" t="s">
        <v>81</v>
      </c>
      <c r="P31" s="4" t="s">
        <v>55</v>
      </c>
      <c r="Q31" s="4" t="s">
        <v>56</v>
      </c>
      <c r="R31" s="4" t="s">
        <v>57</v>
      </c>
      <c r="S31" s="4" t="s">
        <v>58</v>
      </c>
      <c r="T31" s="4" t="s">
        <v>59</v>
      </c>
      <c r="U31" s="4" t="s">
        <v>60</v>
      </c>
      <c r="V31" s="4" t="s">
        <v>61</v>
      </c>
      <c r="W31" s="4" t="s">
        <v>62</v>
      </c>
      <c r="X31" s="4" t="s">
        <v>63</v>
      </c>
      <c r="Y31" s="4" t="s">
        <v>64</v>
      </c>
      <c r="Z31" s="4" t="s">
        <v>65</v>
      </c>
      <c r="AA31" s="4" t="s">
        <v>66</v>
      </c>
      <c r="AB31" s="5" t="s">
        <v>82</v>
      </c>
      <c r="AC31" s="4" t="s">
        <v>55</v>
      </c>
      <c r="AD31" s="4" t="s">
        <v>56</v>
      </c>
      <c r="AE31" s="4" t="s">
        <v>57</v>
      </c>
      <c r="AF31" s="4" t="s">
        <v>58</v>
      </c>
      <c r="AG31" s="4" t="s">
        <v>59</v>
      </c>
      <c r="AH31" s="4" t="s">
        <v>60</v>
      </c>
      <c r="AI31" s="4" t="s">
        <v>61</v>
      </c>
      <c r="AJ31" s="4" t="s">
        <v>62</v>
      </c>
      <c r="AK31" s="4" t="s">
        <v>63</v>
      </c>
      <c r="AL31" s="4" t="s">
        <v>64</v>
      </c>
      <c r="AM31" s="4" t="s">
        <v>65</v>
      </c>
      <c r="AN31" s="4" t="s">
        <v>66</v>
      </c>
      <c r="AO31" s="5" t="s">
        <v>83</v>
      </c>
      <c r="AP31" s="4" t="s">
        <v>55</v>
      </c>
      <c r="AQ31" s="4" t="s">
        <v>56</v>
      </c>
      <c r="AR31" s="4" t="s">
        <v>57</v>
      </c>
      <c r="AS31" s="4" t="s">
        <v>58</v>
      </c>
      <c r="AT31" s="4" t="s">
        <v>59</v>
      </c>
      <c r="AU31" s="4" t="s">
        <v>60</v>
      </c>
      <c r="AV31" s="4" t="s">
        <v>61</v>
      </c>
      <c r="AW31" s="4" t="s">
        <v>62</v>
      </c>
      <c r="AX31" s="4" t="s">
        <v>63</v>
      </c>
      <c r="AY31" s="4" t="s">
        <v>64</v>
      </c>
      <c r="AZ31" s="4" t="s">
        <v>65</v>
      </c>
      <c r="BA31" s="4" t="s">
        <v>66</v>
      </c>
      <c r="BB31" s="5" t="s">
        <v>84</v>
      </c>
      <c r="BC31" s="4" t="s">
        <v>55</v>
      </c>
      <c r="BD31" s="4" t="s">
        <v>56</v>
      </c>
      <c r="BE31" s="4" t="s">
        <v>57</v>
      </c>
      <c r="BF31" s="4" t="s">
        <v>58</v>
      </c>
      <c r="BG31" s="4" t="s">
        <v>59</v>
      </c>
      <c r="BH31" s="4" t="s">
        <v>60</v>
      </c>
      <c r="BI31" s="4" t="s">
        <v>61</v>
      </c>
      <c r="BJ31" s="4" t="s">
        <v>62</v>
      </c>
      <c r="BK31" s="4" t="s">
        <v>63</v>
      </c>
      <c r="BL31" s="4" t="s">
        <v>64</v>
      </c>
      <c r="BM31" s="4" t="s">
        <v>65</v>
      </c>
      <c r="BN31" s="4" t="s">
        <v>66</v>
      </c>
      <c r="BO31" s="5" t="s">
        <v>85</v>
      </c>
      <c r="BP31" s="4" t="s">
        <v>55</v>
      </c>
      <c r="BQ31" s="4" t="s">
        <v>56</v>
      </c>
      <c r="BR31" s="4" t="s">
        <v>57</v>
      </c>
      <c r="BS31" s="4" t="s">
        <v>58</v>
      </c>
      <c r="BT31" s="4" t="s">
        <v>59</v>
      </c>
      <c r="BU31" s="4" t="s">
        <v>60</v>
      </c>
      <c r="BV31" s="4" t="s">
        <v>61</v>
      </c>
      <c r="BW31" s="4" t="s">
        <v>62</v>
      </c>
      <c r="BX31" s="4" t="s">
        <v>63</v>
      </c>
      <c r="BY31" s="4" t="s">
        <v>64</v>
      </c>
      <c r="BZ31" s="4" t="s">
        <v>65</v>
      </c>
      <c r="CA31" s="4" t="s">
        <v>66</v>
      </c>
      <c r="CB31" s="5" t="s">
        <v>86</v>
      </c>
    </row>
    <row r="32" spans="2:80" ht="28.05" customHeight="1" x14ac:dyDescent="0.3">
      <c r="B32" s="6" t="s">
        <v>46</v>
      </c>
      <c r="C32" s="7">
        <v>0</v>
      </c>
      <c r="D32" s="7">
        <v>101383549</v>
      </c>
      <c r="E32" s="7">
        <v>198441247</v>
      </c>
      <c r="F32" s="7">
        <v>284324137</v>
      </c>
      <c r="G32" s="7">
        <v>358590676</v>
      </c>
      <c r="H32" s="7">
        <v>433048907</v>
      </c>
      <c r="I32" s="7">
        <v>503354400</v>
      </c>
      <c r="J32" s="7">
        <v>586218042</v>
      </c>
      <c r="K32" s="7">
        <v>653892258</v>
      </c>
      <c r="L32" s="7">
        <v>714435373</v>
      </c>
      <c r="M32" s="7">
        <v>802149786</v>
      </c>
      <c r="N32" s="7">
        <v>979979167</v>
      </c>
      <c r="O32" s="8">
        <f t="shared" ref="O32:O37" si="30">N32</f>
        <v>979979167</v>
      </c>
      <c r="P32" s="7">
        <v>0</v>
      </c>
      <c r="Q32" s="7">
        <v>58153045</v>
      </c>
      <c r="R32" s="7">
        <v>139608998</v>
      </c>
      <c r="S32" s="7">
        <v>206666427</v>
      </c>
      <c r="T32" s="7">
        <v>283374746</v>
      </c>
      <c r="U32" s="7">
        <v>345265825</v>
      </c>
      <c r="V32" s="7">
        <v>405594742</v>
      </c>
      <c r="W32" s="7">
        <v>472550892</v>
      </c>
      <c r="X32" s="7">
        <v>616595780</v>
      </c>
      <c r="Y32" s="7">
        <v>680714110</v>
      </c>
      <c r="Z32" s="7">
        <v>760339461</v>
      </c>
      <c r="AA32" s="7">
        <v>955760345</v>
      </c>
      <c r="AB32" s="8">
        <f t="shared" ref="AB32:AB37" si="31">AA32</f>
        <v>955760345</v>
      </c>
      <c r="AC32" s="7">
        <v>0</v>
      </c>
      <c r="AD32" s="7">
        <v>18205266</v>
      </c>
      <c r="AE32" s="7">
        <v>138456688</v>
      </c>
      <c r="AF32" s="7">
        <v>309745351</v>
      </c>
      <c r="AG32" s="7">
        <v>436281161</v>
      </c>
      <c r="AH32" s="7">
        <v>544941612</v>
      </c>
      <c r="AI32" s="7">
        <v>643572937</v>
      </c>
      <c r="AJ32" s="7">
        <v>731872328</v>
      </c>
      <c r="AK32" s="7">
        <v>824719400</v>
      </c>
      <c r="AL32" s="7">
        <v>940512329</v>
      </c>
      <c r="AM32" s="7">
        <v>1088998456</v>
      </c>
      <c r="AN32" s="7">
        <v>1417380025</v>
      </c>
      <c r="AO32" s="8">
        <f t="shared" ref="AO32:AO37" si="32">AN32</f>
        <v>1417380025</v>
      </c>
      <c r="AP32" s="7">
        <v>0</v>
      </c>
      <c r="AQ32" s="7">
        <v>115017803</v>
      </c>
      <c r="AR32" s="7">
        <v>245067556</v>
      </c>
      <c r="AS32" s="7">
        <v>379975864</v>
      </c>
      <c r="AT32" s="7">
        <v>521874015</v>
      </c>
      <c r="AU32" s="7">
        <v>774852600</v>
      </c>
      <c r="AV32" s="7">
        <v>856290603</v>
      </c>
      <c r="AW32" s="7">
        <v>943020316</v>
      </c>
      <c r="AX32" s="7">
        <v>1073272838</v>
      </c>
      <c r="AY32" s="7">
        <v>1212620083</v>
      </c>
      <c r="AZ32" s="7">
        <v>1411133522</v>
      </c>
      <c r="BA32" s="7">
        <v>1603559540</v>
      </c>
      <c r="BB32" s="8">
        <f t="shared" ref="BB32:BB37" si="33">BA32</f>
        <v>1603559540</v>
      </c>
      <c r="BC32" s="7">
        <v>1418928</v>
      </c>
      <c r="BD32" s="7">
        <v>262166719</v>
      </c>
      <c r="BE32" s="7">
        <v>478250448</v>
      </c>
      <c r="BF32" s="7">
        <v>666185288</v>
      </c>
      <c r="BG32" s="7">
        <v>837833362</v>
      </c>
      <c r="BH32" s="7">
        <v>982362882</v>
      </c>
      <c r="BI32" s="7">
        <v>1108324387</v>
      </c>
      <c r="BJ32" s="7">
        <v>1217723031</v>
      </c>
      <c r="BK32" s="7">
        <v>1369623467</v>
      </c>
      <c r="BL32" s="7">
        <v>1492337572</v>
      </c>
      <c r="BM32" s="7">
        <v>1632445535</v>
      </c>
      <c r="BN32" s="7">
        <v>1947648753</v>
      </c>
      <c r="BO32" s="8">
        <f t="shared" ref="BO32:BO37" si="34">BN32</f>
        <v>1947648753</v>
      </c>
      <c r="BP32" s="7">
        <v>0</v>
      </c>
      <c r="BQ32" s="7">
        <v>162224034</v>
      </c>
      <c r="BR32" s="7">
        <v>321332158</v>
      </c>
      <c r="BS32" s="7">
        <v>469566556</v>
      </c>
      <c r="BT32" s="7">
        <v>614978745</v>
      </c>
      <c r="BU32" s="7">
        <v>776558972</v>
      </c>
      <c r="BV32" s="7">
        <v>909487841</v>
      </c>
      <c r="BW32" s="9"/>
      <c r="BX32" s="9"/>
      <c r="BY32" s="9"/>
      <c r="BZ32" s="9"/>
      <c r="CA32" s="9"/>
      <c r="CB32" s="8">
        <f t="shared" ref="CB32:CB37" si="35">BV32</f>
        <v>909487841</v>
      </c>
    </row>
    <row r="33" spans="2:80" ht="28.05" customHeight="1" x14ac:dyDescent="0.3">
      <c r="B33" s="6" t="s">
        <v>47</v>
      </c>
      <c r="C33" s="7">
        <v>0</v>
      </c>
      <c r="D33" s="7">
        <v>9524739</v>
      </c>
      <c r="E33" s="7">
        <v>18778382</v>
      </c>
      <c r="F33" s="7">
        <v>27058037</v>
      </c>
      <c r="G33" s="7">
        <v>38359267</v>
      </c>
      <c r="H33" s="7">
        <v>46029534</v>
      </c>
      <c r="I33" s="7">
        <v>54019806</v>
      </c>
      <c r="J33" s="7">
        <v>63431000</v>
      </c>
      <c r="K33" s="7">
        <v>74898419</v>
      </c>
      <c r="L33" s="7">
        <v>87833845</v>
      </c>
      <c r="M33" s="7">
        <v>101123468</v>
      </c>
      <c r="N33" s="7">
        <v>129806818</v>
      </c>
      <c r="O33" s="8">
        <f t="shared" si="30"/>
        <v>129806818</v>
      </c>
      <c r="P33" s="7">
        <v>0</v>
      </c>
      <c r="Q33" s="7">
        <v>2161172</v>
      </c>
      <c r="R33" s="7">
        <v>9902695</v>
      </c>
      <c r="S33" s="7">
        <v>17446259</v>
      </c>
      <c r="T33" s="7">
        <v>23088738</v>
      </c>
      <c r="U33" s="7">
        <v>30830389</v>
      </c>
      <c r="V33" s="7">
        <v>40520841</v>
      </c>
      <c r="W33" s="7">
        <v>46926966</v>
      </c>
      <c r="X33" s="7">
        <v>55522281</v>
      </c>
      <c r="Y33" s="7">
        <v>68952930</v>
      </c>
      <c r="Z33" s="7">
        <v>83462172</v>
      </c>
      <c r="AA33" s="7">
        <v>128495787</v>
      </c>
      <c r="AB33" s="8">
        <f t="shared" si="31"/>
        <v>128495787</v>
      </c>
      <c r="AC33" s="7">
        <v>0</v>
      </c>
      <c r="AD33" s="7">
        <v>6431623</v>
      </c>
      <c r="AE33" s="7">
        <v>21339974</v>
      </c>
      <c r="AF33" s="7">
        <v>32945027</v>
      </c>
      <c r="AG33" s="7">
        <v>47577177</v>
      </c>
      <c r="AH33" s="7">
        <v>63593303</v>
      </c>
      <c r="AI33" s="7">
        <v>79376685</v>
      </c>
      <c r="AJ33" s="7">
        <v>92813663</v>
      </c>
      <c r="AK33" s="7">
        <v>104125697</v>
      </c>
      <c r="AL33" s="7">
        <v>112739918</v>
      </c>
      <c r="AM33" s="7">
        <v>129397461</v>
      </c>
      <c r="AN33" s="7">
        <v>195957467</v>
      </c>
      <c r="AO33" s="8">
        <f t="shared" si="32"/>
        <v>195957467</v>
      </c>
      <c r="AP33" s="7">
        <v>0</v>
      </c>
      <c r="AQ33" s="7">
        <v>6377090</v>
      </c>
      <c r="AR33" s="7">
        <v>23890040</v>
      </c>
      <c r="AS33" s="7">
        <v>39902005</v>
      </c>
      <c r="AT33" s="7">
        <v>58620170</v>
      </c>
      <c r="AU33" s="7">
        <v>119341758</v>
      </c>
      <c r="AV33" s="7">
        <v>136670909</v>
      </c>
      <c r="AW33" s="7">
        <v>157100022</v>
      </c>
      <c r="AX33" s="7">
        <v>175138873</v>
      </c>
      <c r="AY33" s="7">
        <v>193499950</v>
      </c>
      <c r="AZ33" s="7">
        <v>211590153</v>
      </c>
      <c r="BA33" s="7">
        <v>243896208</v>
      </c>
      <c r="BB33" s="8">
        <f t="shared" si="33"/>
        <v>243896208</v>
      </c>
      <c r="BC33" s="7">
        <v>2068692</v>
      </c>
      <c r="BD33" s="7">
        <v>14027617</v>
      </c>
      <c r="BE33" s="7">
        <v>36168803</v>
      </c>
      <c r="BF33" s="7">
        <v>53822571</v>
      </c>
      <c r="BG33" s="7">
        <v>71880596</v>
      </c>
      <c r="BH33" s="7">
        <v>92473645</v>
      </c>
      <c r="BI33" s="7">
        <v>108898696</v>
      </c>
      <c r="BJ33" s="7">
        <v>131234326</v>
      </c>
      <c r="BK33" s="7">
        <v>152827107</v>
      </c>
      <c r="BL33" s="7">
        <v>173770614</v>
      </c>
      <c r="BM33" s="7">
        <v>201417551</v>
      </c>
      <c r="BN33" s="7">
        <v>252789386</v>
      </c>
      <c r="BO33" s="8">
        <f t="shared" si="34"/>
        <v>252789386</v>
      </c>
      <c r="BP33" s="7">
        <v>0</v>
      </c>
      <c r="BQ33" s="7">
        <v>9585447</v>
      </c>
      <c r="BR33" s="7">
        <v>24838996</v>
      </c>
      <c r="BS33" s="7">
        <v>36118123</v>
      </c>
      <c r="BT33" s="7">
        <v>47381569</v>
      </c>
      <c r="BU33" s="7">
        <v>59374806</v>
      </c>
      <c r="BV33" s="7">
        <v>73650703</v>
      </c>
      <c r="BW33" s="9"/>
      <c r="BX33" s="9"/>
      <c r="BY33" s="9"/>
      <c r="BZ33" s="9"/>
      <c r="CA33" s="9"/>
      <c r="CB33" s="8">
        <f t="shared" si="35"/>
        <v>73650703</v>
      </c>
    </row>
    <row r="34" spans="2:80" ht="28.05" customHeight="1" x14ac:dyDescent="0.3">
      <c r="B34" s="6" t="s">
        <v>48</v>
      </c>
      <c r="C34" s="7">
        <v>0</v>
      </c>
      <c r="D34" s="7">
        <v>6666332</v>
      </c>
      <c r="E34" s="7">
        <v>21867716</v>
      </c>
      <c r="F34" s="7">
        <v>35651365</v>
      </c>
      <c r="G34" s="7">
        <v>47287710</v>
      </c>
      <c r="H34" s="7">
        <v>58269490</v>
      </c>
      <c r="I34" s="7">
        <v>67196224</v>
      </c>
      <c r="J34" s="7">
        <v>76194121</v>
      </c>
      <c r="K34" s="7">
        <v>86850665</v>
      </c>
      <c r="L34" s="7">
        <v>100525220</v>
      </c>
      <c r="M34" s="7">
        <v>114625930</v>
      </c>
      <c r="N34" s="7">
        <v>138846156</v>
      </c>
      <c r="O34" s="8">
        <f t="shared" si="30"/>
        <v>138846156</v>
      </c>
      <c r="P34" s="7">
        <v>0</v>
      </c>
      <c r="Q34" s="7">
        <v>0</v>
      </c>
      <c r="R34" s="7">
        <v>7252609</v>
      </c>
      <c r="S34" s="7">
        <v>18124947</v>
      </c>
      <c r="T34" s="7">
        <v>26400403</v>
      </c>
      <c r="U34" s="7">
        <v>33265233</v>
      </c>
      <c r="V34" s="7">
        <v>41025465</v>
      </c>
      <c r="W34" s="7">
        <v>48098388</v>
      </c>
      <c r="X34" s="7">
        <v>56515227</v>
      </c>
      <c r="Y34" s="7">
        <v>64874125</v>
      </c>
      <c r="Z34" s="7">
        <v>77789880</v>
      </c>
      <c r="AA34" s="7">
        <v>108974292</v>
      </c>
      <c r="AB34" s="8">
        <f t="shared" si="31"/>
        <v>108974292</v>
      </c>
      <c r="AC34" s="7">
        <v>0</v>
      </c>
      <c r="AD34" s="7">
        <v>2303161</v>
      </c>
      <c r="AE34" s="7">
        <v>29583551</v>
      </c>
      <c r="AF34" s="7">
        <v>49465414</v>
      </c>
      <c r="AG34" s="7">
        <v>68683761</v>
      </c>
      <c r="AH34" s="7">
        <v>84807286</v>
      </c>
      <c r="AI34" s="7">
        <v>102765834</v>
      </c>
      <c r="AJ34" s="7">
        <v>120298096</v>
      </c>
      <c r="AK34" s="7">
        <v>135987986</v>
      </c>
      <c r="AL34" s="7">
        <v>156018552</v>
      </c>
      <c r="AM34" s="7">
        <v>183226741</v>
      </c>
      <c r="AN34" s="7">
        <v>244037387</v>
      </c>
      <c r="AO34" s="8">
        <f t="shared" si="32"/>
        <v>244037387</v>
      </c>
      <c r="AP34" s="7">
        <v>0</v>
      </c>
      <c r="AQ34" s="7">
        <v>11025007</v>
      </c>
      <c r="AR34" s="7">
        <v>25342159</v>
      </c>
      <c r="AS34" s="7">
        <v>43422173</v>
      </c>
      <c r="AT34" s="7">
        <v>59731566</v>
      </c>
      <c r="AU34" s="7">
        <v>80871277</v>
      </c>
      <c r="AV34" s="7">
        <v>90939725</v>
      </c>
      <c r="AW34" s="7">
        <v>104887838</v>
      </c>
      <c r="AX34" s="7">
        <v>121545898</v>
      </c>
      <c r="AY34" s="7">
        <v>134718420</v>
      </c>
      <c r="AZ34" s="7">
        <v>150454729</v>
      </c>
      <c r="BA34" s="7">
        <v>189747396</v>
      </c>
      <c r="BB34" s="8">
        <f t="shared" si="33"/>
        <v>189747396</v>
      </c>
      <c r="BC34" s="7">
        <v>2010108</v>
      </c>
      <c r="BD34" s="7">
        <v>18132777</v>
      </c>
      <c r="BE34" s="7">
        <v>36591973</v>
      </c>
      <c r="BF34" s="7">
        <v>55560502</v>
      </c>
      <c r="BG34" s="7">
        <v>73627660</v>
      </c>
      <c r="BH34" s="7">
        <v>93134581</v>
      </c>
      <c r="BI34" s="7">
        <v>109996503</v>
      </c>
      <c r="BJ34" s="7">
        <v>127458124</v>
      </c>
      <c r="BK34" s="7">
        <v>147026821</v>
      </c>
      <c r="BL34" s="7">
        <v>167611651</v>
      </c>
      <c r="BM34" s="7">
        <v>186253362</v>
      </c>
      <c r="BN34" s="7">
        <v>231742834</v>
      </c>
      <c r="BO34" s="8">
        <f t="shared" si="34"/>
        <v>231742834</v>
      </c>
      <c r="BP34" s="7">
        <v>0</v>
      </c>
      <c r="BQ34" s="7">
        <v>19469514</v>
      </c>
      <c r="BR34" s="7">
        <v>40366706</v>
      </c>
      <c r="BS34" s="7">
        <v>60258504</v>
      </c>
      <c r="BT34" s="7">
        <v>79539794</v>
      </c>
      <c r="BU34" s="7">
        <v>99543928</v>
      </c>
      <c r="BV34" s="7">
        <v>119758712</v>
      </c>
      <c r="BW34" s="9"/>
      <c r="BX34" s="9"/>
      <c r="BY34" s="9"/>
      <c r="BZ34" s="9"/>
      <c r="CA34" s="9"/>
      <c r="CB34" s="8">
        <f t="shared" si="35"/>
        <v>119758712</v>
      </c>
    </row>
    <row r="35" spans="2:80" ht="28.05" customHeight="1" x14ac:dyDescent="0.3">
      <c r="B35" s="6" t="s">
        <v>49</v>
      </c>
      <c r="C35" s="7">
        <v>3825181</v>
      </c>
      <c r="D35" s="7">
        <v>8964985</v>
      </c>
      <c r="E35" s="7">
        <v>15055911</v>
      </c>
      <c r="F35" s="7">
        <v>20048280</v>
      </c>
      <c r="G35" s="7">
        <v>26317106</v>
      </c>
      <c r="H35" s="7">
        <v>31688072</v>
      </c>
      <c r="I35" s="7">
        <v>36444446</v>
      </c>
      <c r="J35" s="7">
        <v>42554997</v>
      </c>
      <c r="K35" s="7">
        <v>48413592</v>
      </c>
      <c r="L35" s="7">
        <v>53825635</v>
      </c>
      <c r="M35" s="7">
        <v>60943515</v>
      </c>
      <c r="N35" s="7">
        <v>72860066</v>
      </c>
      <c r="O35" s="8">
        <f t="shared" si="30"/>
        <v>72860066</v>
      </c>
      <c r="P35" s="7">
        <v>0</v>
      </c>
      <c r="Q35" s="7">
        <v>6831369</v>
      </c>
      <c r="R35" s="7">
        <v>12735359</v>
      </c>
      <c r="S35" s="7">
        <v>17744111</v>
      </c>
      <c r="T35" s="7">
        <v>21871504</v>
      </c>
      <c r="U35" s="7">
        <v>26590987</v>
      </c>
      <c r="V35" s="7">
        <v>29792299</v>
      </c>
      <c r="W35" s="7">
        <v>33545628</v>
      </c>
      <c r="X35" s="7">
        <v>38180759</v>
      </c>
      <c r="Y35" s="7">
        <v>44900676</v>
      </c>
      <c r="Z35" s="7">
        <v>49875536</v>
      </c>
      <c r="AA35" s="7">
        <v>63389831</v>
      </c>
      <c r="AB35" s="8">
        <f t="shared" si="31"/>
        <v>63389831</v>
      </c>
      <c r="AC35" s="7">
        <v>0</v>
      </c>
      <c r="AD35" s="7">
        <v>9852119</v>
      </c>
      <c r="AE35" s="7">
        <v>18996634</v>
      </c>
      <c r="AF35" s="7">
        <v>27251266</v>
      </c>
      <c r="AG35" s="7">
        <v>35013028</v>
      </c>
      <c r="AH35" s="7">
        <v>43003795</v>
      </c>
      <c r="AI35" s="7">
        <v>50751095</v>
      </c>
      <c r="AJ35" s="7">
        <v>58156520</v>
      </c>
      <c r="AK35" s="7">
        <v>66259094</v>
      </c>
      <c r="AL35" s="7">
        <v>74165411</v>
      </c>
      <c r="AM35" s="7">
        <v>86349973</v>
      </c>
      <c r="AN35" s="7">
        <v>104365673</v>
      </c>
      <c r="AO35" s="8">
        <f t="shared" si="32"/>
        <v>104365673</v>
      </c>
      <c r="AP35" s="7">
        <v>0</v>
      </c>
      <c r="AQ35" s="7">
        <v>14355305</v>
      </c>
      <c r="AR35" s="7">
        <v>24004310</v>
      </c>
      <c r="AS35" s="7">
        <v>34981155</v>
      </c>
      <c r="AT35" s="7">
        <v>44329314</v>
      </c>
      <c r="AU35" s="7">
        <v>57184018</v>
      </c>
      <c r="AV35" s="7">
        <v>67266994</v>
      </c>
      <c r="AW35" s="7">
        <v>77238997</v>
      </c>
      <c r="AX35" s="7">
        <v>87016951</v>
      </c>
      <c r="AY35" s="7">
        <v>98032816</v>
      </c>
      <c r="AZ35" s="7">
        <v>108856624</v>
      </c>
      <c r="BA35" s="7">
        <v>122976500</v>
      </c>
      <c r="BB35" s="8">
        <f t="shared" si="33"/>
        <v>122976500</v>
      </c>
      <c r="BC35" s="7">
        <v>11343929</v>
      </c>
      <c r="BD35" s="7">
        <v>22880886</v>
      </c>
      <c r="BE35" s="7">
        <v>31954442</v>
      </c>
      <c r="BF35" s="7">
        <v>40743206</v>
      </c>
      <c r="BG35" s="7">
        <v>50003253</v>
      </c>
      <c r="BH35" s="7">
        <v>61155170</v>
      </c>
      <c r="BI35" s="7">
        <v>73000387</v>
      </c>
      <c r="BJ35" s="7">
        <v>82403582</v>
      </c>
      <c r="BK35" s="7">
        <v>91424463</v>
      </c>
      <c r="BL35" s="7">
        <v>102261627</v>
      </c>
      <c r="BM35" s="7">
        <v>115278067</v>
      </c>
      <c r="BN35" s="7">
        <v>140810158</v>
      </c>
      <c r="BO35" s="8">
        <f t="shared" si="34"/>
        <v>140810158</v>
      </c>
      <c r="BP35" s="7">
        <v>5334724</v>
      </c>
      <c r="BQ35" s="7">
        <v>18823694</v>
      </c>
      <c r="BR35" s="7">
        <v>29721986</v>
      </c>
      <c r="BS35" s="7">
        <v>39558533</v>
      </c>
      <c r="BT35" s="7">
        <v>50252046</v>
      </c>
      <c r="BU35" s="7">
        <v>57851838</v>
      </c>
      <c r="BV35" s="7">
        <v>65221155</v>
      </c>
      <c r="BW35" s="9"/>
      <c r="BX35" s="9"/>
      <c r="BY35" s="9"/>
      <c r="BZ35" s="9"/>
      <c r="CA35" s="9"/>
      <c r="CB35" s="8">
        <f t="shared" si="35"/>
        <v>65221155</v>
      </c>
    </row>
    <row r="36" spans="2:80" ht="28.05" customHeight="1" x14ac:dyDescent="0.3">
      <c r="B36" s="6" t="s">
        <v>50</v>
      </c>
      <c r="C36" s="7">
        <v>5238741</v>
      </c>
      <c r="D36" s="7">
        <v>10943486</v>
      </c>
      <c r="E36" s="7">
        <v>18457428</v>
      </c>
      <c r="F36" s="7">
        <v>27356255</v>
      </c>
      <c r="G36" s="7">
        <v>33912011</v>
      </c>
      <c r="H36" s="7">
        <v>39164650</v>
      </c>
      <c r="I36" s="7">
        <v>41928107</v>
      </c>
      <c r="J36" s="7">
        <v>45570244</v>
      </c>
      <c r="K36" s="7">
        <v>48624248</v>
      </c>
      <c r="L36" s="7">
        <v>50023582</v>
      </c>
      <c r="M36" s="7">
        <v>51847218</v>
      </c>
      <c r="N36" s="7">
        <v>56686190</v>
      </c>
      <c r="O36" s="8">
        <f t="shared" si="30"/>
        <v>56686190</v>
      </c>
      <c r="P36" s="7">
        <v>839540</v>
      </c>
      <c r="Q36" s="7">
        <v>1930275</v>
      </c>
      <c r="R36" s="7">
        <v>5065401</v>
      </c>
      <c r="S36" s="7">
        <v>7642514</v>
      </c>
      <c r="T36" s="7">
        <v>8217159</v>
      </c>
      <c r="U36" s="7">
        <v>9505928</v>
      </c>
      <c r="V36" s="7">
        <v>12107075</v>
      </c>
      <c r="W36" s="7">
        <v>14547935</v>
      </c>
      <c r="X36" s="7">
        <v>17494128</v>
      </c>
      <c r="Y36" s="7">
        <v>27673768</v>
      </c>
      <c r="Z36" s="7">
        <v>40027308</v>
      </c>
      <c r="AA36" s="7">
        <v>65439532</v>
      </c>
      <c r="AB36" s="8">
        <f t="shared" si="31"/>
        <v>65439532</v>
      </c>
      <c r="AC36" s="7">
        <v>0</v>
      </c>
      <c r="AD36" s="7">
        <v>13210998</v>
      </c>
      <c r="AE36" s="7">
        <v>26801255</v>
      </c>
      <c r="AF36" s="7">
        <v>34566510</v>
      </c>
      <c r="AG36" s="7">
        <v>40280060</v>
      </c>
      <c r="AH36" s="7">
        <v>46287111</v>
      </c>
      <c r="AI36" s="7">
        <v>50590434</v>
      </c>
      <c r="AJ36" s="7">
        <v>60655017</v>
      </c>
      <c r="AK36" s="7">
        <v>67496353</v>
      </c>
      <c r="AL36" s="7">
        <v>74862435</v>
      </c>
      <c r="AM36" s="7">
        <v>89687930</v>
      </c>
      <c r="AN36" s="7">
        <v>122803224</v>
      </c>
      <c r="AO36" s="8">
        <f t="shared" si="32"/>
        <v>122803224</v>
      </c>
      <c r="AP36" s="7">
        <v>0</v>
      </c>
      <c r="AQ36" s="7">
        <v>10801902</v>
      </c>
      <c r="AR36" s="7">
        <v>21691356</v>
      </c>
      <c r="AS36" s="7">
        <v>33317068</v>
      </c>
      <c r="AT36" s="7">
        <v>44122345</v>
      </c>
      <c r="AU36" s="7">
        <v>59135603</v>
      </c>
      <c r="AV36" s="7">
        <v>66601938</v>
      </c>
      <c r="AW36" s="7">
        <v>74752243</v>
      </c>
      <c r="AX36" s="7">
        <v>86852892</v>
      </c>
      <c r="AY36" s="7">
        <v>99348688</v>
      </c>
      <c r="AZ36" s="7">
        <v>111690617</v>
      </c>
      <c r="BA36" s="7">
        <v>121236421</v>
      </c>
      <c r="BB36" s="8">
        <f t="shared" si="33"/>
        <v>121236421</v>
      </c>
      <c r="BC36" s="7">
        <v>5480453</v>
      </c>
      <c r="BD36" s="7">
        <v>18789767</v>
      </c>
      <c r="BE36" s="7">
        <v>33876924</v>
      </c>
      <c r="BF36" s="7">
        <v>51049771</v>
      </c>
      <c r="BG36" s="7">
        <v>63060218</v>
      </c>
      <c r="BH36" s="7">
        <v>70081917</v>
      </c>
      <c r="BI36" s="7">
        <v>74458174</v>
      </c>
      <c r="BJ36" s="7">
        <v>78656297</v>
      </c>
      <c r="BK36" s="7">
        <v>86517922</v>
      </c>
      <c r="BL36" s="7">
        <v>100099974</v>
      </c>
      <c r="BM36" s="7">
        <v>112429460</v>
      </c>
      <c r="BN36" s="7">
        <v>142638019</v>
      </c>
      <c r="BO36" s="8">
        <f t="shared" si="34"/>
        <v>142638019</v>
      </c>
      <c r="BP36" s="7">
        <v>8605874</v>
      </c>
      <c r="BQ36" s="7">
        <v>22342962</v>
      </c>
      <c r="BR36" s="7">
        <v>30219385</v>
      </c>
      <c r="BS36" s="7">
        <v>33540799</v>
      </c>
      <c r="BT36" s="7">
        <v>36963751</v>
      </c>
      <c r="BU36" s="7">
        <v>51185776</v>
      </c>
      <c r="BV36" s="7">
        <v>55356746</v>
      </c>
      <c r="BW36" s="9"/>
      <c r="BX36" s="9"/>
      <c r="BY36" s="9"/>
      <c r="BZ36" s="9"/>
      <c r="CA36" s="9"/>
      <c r="CB36" s="8">
        <f t="shared" si="35"/>
        <v>55356746</v>
      </c>
    </row>
    <row r="37" spans="2:80" ht="28.05" customHeight="1" x14ac:dyDescent="0.3">
      <c r="B37" s="6" t="s">
        <v>51</v>
      </c>
      <c r="C37" s="7">
        <v>0</v>
      </c>
      <c r="D37" s="7">
        <v>185308</v>
      </c>
      <c r="E37" s="7">
        <v>472311</v>
      </c>
      <c r="F37" s="7">
        <v>867432</v>
      </c>
      <c r="G37" s="7">
        <v>1160606</v>
      </c>
      <c r="H37" s="7">
        <v>1516702</v>
      </c>
      <c r="I37" s="7">
        <v>2083480</v>
      </c>
      <c r="J37" s="7">
        <v>2750574</v>
      </c>
      <c r="K37" s="7">
        <v>3861743</v>
      </c>
      <c r="L37" s="7">
        <v>4604946</v>
      </c>
      <c r="M37" s="7">
        <v>5590277</v>
      </c>
      <c r="N37" s="7">
        <v>7136830</v>
      </c>
      <c r="O37" s="8">
        <f t="shared" si="30"/>
        <v>7136830</v>
      </c>
      <c r="P37" s="7">
        <v>0</v>
      </c>
      <c r="Q37" s="7">
        <v>0</v>
      </c>
      <c r="R37" s="7">
        <v>112783</v>
      </c>
      <c r="S37" s="7">
        <v>865235</v>
      </c>
      <c r="T37" s="7">
        <v>1090968</v>
      </c>
      <c r="U37" s="7">
        <v>1329914</v>
      </c>
      <c r="V37" s="7">
        <v>1964401</v>
      </c>
      <c r="W37" s="7">
        <v>2518748</v>
      </c>
      <c r="X37" s="7">
        <v>3753691</v>
      </c>
      <c r="Y37" s="7">
        <v>4505699</v>
      </c>
      <c r="Z37" s="7">
        <v>5158128</v>
      </c>
      <c r="AA37" s="7">
        <v>6961523</v>
      </c>
      <c r="AB37" s="8">
        <f t="shared" si="31"/>
        <v>6961523</v>
      </c>
      <c r="AC37" s="7">
        <v>0</v>
      </c>
      <c r="AD37" s="7">
        <v>14295</v>
      </c>
      <c r="AE37" s="7">
        <v>519418</v>
      </c>
      <c r="AF37" s="7">
        <v>818017</v>
      </c>
      <c r="AG37" s="7">
        <v>1410647</v>
      </c>
      <c r="AH37" s="7">
        <v>2049207</v>
      </c>
      <c r="AI37" s="7">
        <v>2506834</v>
      </c>
      <c r="AJ37" s="7">
        <v>3618243</v>
      </c>
      <c r="AK37" s="7">
        <v>4988476</v>
      </c>
      <c r="AL37" s="7">
        <v>5883654</v>
      </c>
      <c r="AM37" s="7">
        <v>7168509</v>
      </c>
      <c r="AN37" s="7">
        <v>8421473</v>
      </c>
      <c r="AO37" s="8">
        <f t="shared" si="32"/>
        <v>8421473</v>
      </c>
      <c r="AP37" s="7">
        <v>0</v>
      </c>
      <c r="AQ37" s="7">
        <v>1265774</v>
      </c>
      <c r="AR37" s="7">
        <v>2147162</v>
      </c>
      <c r="AS37" s="7">
        <v>4222816</v>
      </c>
      <c r="AT37" s="7">
        <v>6702483</v>
      </c>
      <c r="AU37" s="7">
        <v>11199330</v>
      </c>
      <c r="AV37" s="7">
        <v>13041635</v>
      </c>
      <c r="AW37" s="7">
        <v>16175866</v>
      </c>
      <c r="AX37" s="7">
        <v>20074880</v>
      </c>
      <c r="AY37" s="7">
        <v>23775698</v>
      </c>
      <c r="AZ37" s="7">
        <v>27727701</v>
      </c>
      <c r="BA37" s="7">
        <v>33523348</v>
      </c>
      <c r="BB37" s="8">
        <f t="shared" si="33"/>
        <v>33523348</v>
      </c>
      <c r="BC37" s="7">
        <v>1010340</v>
      </c>
      <c r="BD37" s="7">
        <v>5400393</v>
      </c>
      <c r="BE37" s="7">
        <v>9140892</v>
      </c>
      <c r="BF37" s="7">
        <v>13609867</v>
      </c>
      <c r="BG37" s="7">
        <v>16763840</v>
      </c>
      <c r="BH37" s="7">
        <v>19193589</v>
      </c>
      <c r="BI37" s="7">
        <v>22131755</v>
      </c>
      <c r="BJ37" s="7">
        <v>27614100</v>
      </c>
      <c r="BK37" s="7">
        <v>31105744</v>
      </c>
      <c r="BL37" s="7">
        <v>35933608</v>
      </c>
      <c r="BM37" s="7">
        <v>40868830</v>
      </c>
      <c r="BN37" s="7">
        <v>48235342</v>
      </c>
      <c r="BO37" s="8">
        <f t="shared" si="34"/>
        <v>48235342</v>
      </c>
      <c r="BP37" s="7">
        <v>506557</v>
      </c>
      <c r="BQ37" s="7">
        <v>3068948</v>
      </c>
      <c r="BR37" s="7">
        <v>4760248</v>
      </c>
      <c r="BS37" s="7">
        <v>6527517</v>
      </c>
      <c r="BT37" s="7">
        <v>9351673</v>
      </c>
      <c r="BU37" s="7">
        <v>11151630</v>
      </c>
      <c r="BV37" s="7">
        <v>13543806</v>
      </c>
      <c r="BW37" s="9"/>
      <c r="BX37" s="9"/>
      <c r="BY37" s="9"/>
      <c r="BZ37" s="9"/>
      <c r="CA37" s="9"/>
      <c r="CB37" s="8">
        <f t="shared" si="35"/>
        <v>13543806</v>
      </c>
    </row>
    <row r="38" spans="2:80" ht="22.05" customHeight="1" x14ac:dyDescent="0.3">
      <c r="B38" s="3" t="s">
        <v>87</v>
      </c>
      <c r="C38" s="10">
        <f t="shared" ref="C38:AH38" si="36">SUM(C32:C37)</f>
        <v>9063922</v>
      </c>
      <c r="D38" s="10">
        <f t="shared" si="36"/>
        <v>137668399</v>
      </c>
      <c r="E38" s="10">
        <f t="shared" si="36"/>
        <v>273072995</v>
      </c>
      <c r="F38" s="10">
        <f t="shared" si="36"/>
        <v>395305506</v>
      </c>
      <c r="G38" s="10">
        <f t="shared" si="36"/>
        <v>505627376</v>
      </c>
      <c r="H38" s="10">
        <f t="shared" si="36"/>
        <v>609717355</v>
      </c>
      <c r="I38" s="10">
        <f t="shared" si="36"/>
        <v>705026463</v>
      </c>
      <c r="J38" s="10">
        <f t="shared" si="36"/>
        <v>816718978</v>
      </c>
      <c r="K38" s="10">
        <f t="shared" si="36"/>
        <v>916540925</v>
      </c>
      <c r="L38" s="10">
        <f t="shared" si="36"/>
        <v>1011248601</v>
      </c>
      <c r="M38" s="10">
        <f t="shared" si="36"/>
        <v>1136280194</v>
      </c>
      <c r="N38" s="10">
        <f t="shared" si="36"/>
        <v>1385315227</v>
      </c>
      <c r="O38" s="10">
        <f t="shared" si="36"/>
        <v>1385315227</v>
      </c>
      <c r="P38" s="10">
        <f t="shared" si="36"/>
        <v>839540</v>
      </c>
      <c r="Q38" s="10">
        <f t="shared" si="36"/>
        <v>69075861</v>
      </c>
      <c r="R38" s="10">
        <f t="shared" si="36"/>
        <v>174677845</v>
      </c>
      <c r="S38" s="10">
        <f t="shared" si="36"/>
        <v>268489493</v>
      </c>
      <c r="T38" s="10">
        <f t="shared" si="36"/>
        <v>364043518</v>
      </c>
      <c r="U38" s="10">
        <f t="shared" si="36"/>
        <v>446788276</v>
      </c>
      <c r="V38" s="10">
        <f t="shared" si="36"/>
        <v>531004823</v>
      </c>
      <c r="W38" s="10">
        <f t="shared" si="36"/>
        <v>618188557</v>
      </c>
      <c r="X38" s="10">
        <f t="shared" si="36"/>
        <v>788061866</v>
      </c>
      <c r="Y38" s="10">
        <f t="shared" si="36"/>
        <v>891621308</v>
      </c>
      <c r="Z38" s="10">
        <f t="shared" si="36"/>
        <v>1016652485</v>
      </c>
      <c r="AA38" s="10">
        <f t="shared" si="36"/>
        <v>1329021310</v>
      </c>
      <c r="AB38" s="10">
        <f t="shared" si="36"/>
        <v>1329021310</v>
      </c>
      <c r="AC38" s="10">
        <f t="shared" si="36"/>
        <v>0</v>
      </c>
      <c r="AD38" s="10">
        <f t="shared" si="36"/>
        <v>50017462</v>
      </c>
      <c r="AE38" s="10">
        <f t="shared" si="36"/>
        <v>235697520</v>
      </c>
      <c r="AF38" s="10">
        <f t="shared" si="36"/>
        <v>454791585</v>
      </c>
      <c r="AG38" s="10">
        <f t="shared" si="36"/>
        <v>629245834</v>
      </c>
      <c r="AH38" s="10">
        <f t="shared" si="36"/>
        <v>784682314</v>
      </c>
      <c r="AI38" s="10">
        <f t="shared" ref="AI38:BN38" si="37">SUM(AI32:AI37)</f>
        <v>929563819</v>
      </c>
      <c r="AJ38" s="10">
        <f t="shared" si="37"/>
        <v>1067413867</v>
      </c>
      <c r="AK38" s="10">
        <f t="shared" si="37"/>
        <v>1203577006</v>
      </c>
      <c r="AL38" s="10">
        <f t="shared" si="37"/>
        <v>1364182299</v>
      </c>
      <c r="AM38" s="10">
        <f t="shared" si="37"/>
        <v>1584829070</v>
      </c>
      <c r="AN38" s="10">
        <f t="shared" si="37"/>
        <v>2092965249</v>
      </c>
      <c r="AO38" s="10">
        <f t="shared" si="37"/>
        <v>2092965249</v>
      </c>
      <c r="AP38" s="10">
        <f t="shared" si="37"/>
        <v>0</v>
      </c>
      <c r="AQ38" s="10">
        <f t="shared" si="37"/>
        <v>158842881</v>
      </c>
      <c r="AR38" s="10">
        <f t="shared" si="37"/>
        <v>342142583</v>
      </c>
      <c r="AS38" s="10">
        <f t="shared" si="37"/>
        <v>535821081</v>
      </c>
      <c r="AT38" s="10">
        <f t="shared" si="37"/>
        <v>735379893</v>
      </c>
      <c r="AU38" s="10">
        <f t="shared" si="37"/>
        <v>1102584586</v>
      </c>
      <c r="AV38" s="10">
        <f t="shared" si="37"/>
        <v>1230811804</v>
      </c>
      <c r="AW38" s="10">
        <f t="shared" si="37"/>
        <v>1373175282</v>
      </c>
      <c r="AX38" s="10">
        <f t="shared" si="37"/>
        <v>1563902332</v>
      </c>
      <c r="AY38" s="10">
        <f t="shared" si="37"/>
        <v>1761995655</v>
      </c>
      <c r="AZ38" s="10">
        <f t="shared" si="37"/>
        <v>2021453346</v>
      </c>
      <c r="BA38" s="10">
        <f t="shared" si="37"/>
        <v>2314939413</v>
      </c>
      <c r="BB38" s="10">
        <f t="shared" si="37"/>
        <v>2314939413</v>
      </c>
      <c r="BC38" s="10">
        <f t="shared" si="37"/>
        <v>23332450</v>
      </c>
      <c r="BD38" s="10">
        <f t="shared" si="37"/>
        <v>341398159</v>
      </c>
      <c r="BE38" s="10">
        <f t="shared" si="37"/>
        <v>625983482</v>
      </c>
      <c r="BF38" s="10">
        <f t="shared" si="37"/>
        <v>880971205</v>
      </c>
      <c r="BG38" s="10">
        <f t="shared" si="37"/>
        <v>1113168929</v>
      </c>
      <c r="BH38" s="10">
        <f t="shared" si="37"/>
        <v>1318401784</v>
      </c>
      <c r="BI38" s="10">
        <f t="shared" si="37"/>
        <v>1496809902</v>
      </c>
      <c r="BJ38" s="10">
        <f t="shared" si="37"/>
        <v>1665089460</v>
      </c>
      <c r="BK38" s="10">
        <f t="shared" si="37"/>
        <v>1878525524</v>
      </c>
      <c r="BL38" s="10">
        <f t="shared" si="37"/>
        <v>2072015046</v>
      </c>
      <c r="BM38" s="10">
        <f t="shared" si="37"/>
        <v>2288692805</v>
      </c>
      <c r="BN38" s="10">
        <f t="shared" si="37"/>
        <v>2763864492</v>
      </c>
      <c r="BO38" s="10">
        <f t="shared" ref="BO38:CB38" si="38">SUM(BO32:BO37)</f>
        <v>2763864492</v>
      </c>
      <c r="BP38" s="10">
        <f t="shared" si="38"/>
        <v>14447155</v>
      </c>
      <c r="BQ38" s="10">
        <f t="shared" si="38"/>
        <v>235514599</v>
      </c>
      <c r="BR38" s="10">
        <f t="shared" si="38"/>
        <v>451239479</v>
      </c>
      <c r="BS38" s="10">
        <f t="shared" si="38"/>
        <v>645570032</v>
      </c>
      <c r="BT38" s="10">
        <f t="shared" si="38"/>
        <v>838467578</v>
      </c>
      <c r="BU38" s="10">
        <f t="shared" si="38"/>
        <v>1055666950</v>
      </c>
      <c r="BV38" s="10">
        <f t="shared" si="38"/>
        <v>1237018963</v>
      </c>
      <c r="BW38" s="10">
        <f t="shared" si="38"/>
        <v>0</v>
      </c>
      <c r="BX38" s="10">
        <f t="shared" si="38"/>
        <v>0</v>
      </c>
      <c r="BY38" s="10">
        <f t="shared" si="38"/>
        <v>0</v>
      </c>
      <c r="BZ38" s="10">
        <f t="shared" si="38"/>
        <v>0</v>
      </c>
      <c r="CA38" s="10">
        <f t="shared" si="38"/>
        <v>0</v>
      </c>
      <c r="CB38" s="10">
        <f t="shared" si="38"/>
        <v>1237018963</v>
      </c>
    </row>
    <row r="39" spans="2:80" x14ac:dyDescent="0.3">
      <c r="B39" s="58" t="s">
        <v>92</v>
      </c>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row>
    <row r="42" spans="2:80" ht="25.95" customHeight="1" x14ac:dyDescent="0.3">
      <c r="B42" s="63" t="s">
        <v>93</v>
      </c>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row>
    <row r="44" spans="2:80" ht="16.05" customHeight="1" x14ac:dyDescent="0.3">
      <c r="B44" s="62" t="s">
        <v>94</v>
      </c>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row>
    <row r="45" spans="2:80" ht="22.05" customHeight="1" x14ac:dyDescent="0.3">
      <c r="B45" s="2"/>
      <c r="C45" s="60">
        <v>2021</v>
      </c>
      <c r="D45" s="61"/>
      <c r="E45" s="61"/>
      <c r="F45" s="61"/>
      <c r="G45" s="61"/>
      <c r="H45" s="61"/>
      <c r="I45" s="61"/>
      <c r="J45" s="61"/>
      <c r="K45" s="61"/>
      <c r="L45" s="61"/>
      <c r="M45" s="61"/>
      <c r="N45" s="61"/>
      <c r="O45" s="61"/>
      <c r="P45" s="60">
        <v>2022</v>
      </c>
      <c r="Q45" s="61"/>
      <c r="R45" s="61"/>
      <c r="S45" s="61"/>
      <c r="T45" s="61"/>
      <c r="U45" s="61"/>
      <c r="V45" s="61"/>
      <c r="W45" s="61"/>
      <c r="X45" s="61"/>
      <c r="Y45" s="61"/>
      <c r="Z45" s="61"/>
      <c r="AA45" s="61"/>
      <c r="AB45" s="61"/>
      <c r="AC45" s="60">
        <v>2023</v>
      </c>
      <c r="AD45" s="61"/>
      <c r="AE45" s="61"/>
      <c r="AF45" s="61"/>
      <c r="AG45" s="61"/>
      <c r="AH45" s="61"/>
      <c r="AI45" s="61"/>
      <c r="AJ45" s="61"/>
      <c r="AK45" s="61"/>
      <c r="AL45" s="61"/>
      <c r="AM45" s="61"/>
      <c r="AN45" s="61"/>
      <c r="AO45" s="61"/>
      <c r="AP45" s="60">
        <v>2024</v>
      </c>
      <c r="AQ45" s="61"/>
      <c r="AR45" s="61"/>
      <c r="AS45" s="61"/>
      <c r="AT45" s="61"/>
      <c r="AU45" s="61"/>
      <c r="AV45" s="61"/>
      <c r="AW45" s="61"/>
      <c r="AX45" s="61"/>
      <c r="AY45" s="61"/>
      <c r="AZ45" s="61"/>
      <c r="BA45" s="61"/>
      <c r="BB45" s="61"/>
      <c r="BC45" s="60">
        <v>2025</v>
      </c>
      <c r="BD45" s="61"/>
      <c r="BE45" s="61"/>
      <c r="BF45" s="61"/>
      <c r="BG45" s="61"/>
      <c r="BH45" s="61"/>
      <c r="BI45" s="61"/>
      <c r="BJ45" s="61"/>
      <c r="BK45" s="61"/>
      <c r="BL45" s="61"/>
      <c r="BM45" s="61"/>
      <c r="BN45" s="61"/>
      <c r="BO45" s="61"/>
      <c r="BP45" s="60">
        <v>2026</v>
      </c>
      <c r="BQ45" s="61"/>
      <c r="BR45" s="61"/>
      <c r="BS45" s="61"/>
      <c r="BT45" s="61"/>
      <c r="BU45" s="61"/>
      <c r="BV45" s="61"/>
      <c r="BW45" s="61"/>
      <c r="BX45" s="61"/>
      <c r="BY45" s="61"/>
      <c r="BZ45" s="61"/>
      <c r="CA45" s="61"/>
      <c r="CB45" s="61"/>
    </row>
    <row r="46" spans="2:80" ht="28.05" customHeight="1" x14ac:dyDescent="0.3">
      <c r="B46" s="3" t="s">
        <v>80</v>
      </c>
      <c r="C46" s="4" t="s">
        <v>55</v>
      </c>
      <c r="D46" s="4" t="s">
        <v>56</v>
      </c>
      <c r="E46" s="4" t="s">
        <v>57</v>
      </c>
      <c r="F46" s="4" t="s">
        <v>58</v>
      </c>
      <c r="G46" s="4" t="s">
        <v>59</v>
      </c>
      <c r="H46" s="4" t="s">
        <v>60</v>
      </c>
      <c r="I46" s="4" t="s">
        <v>61</v>
      </c>
      <c r="J46" s="4" t="s">
        <v>62</v>
      </c>
      <c r="K46" s="4" t="s">
        <v>63</v>
      </c>
      <c r="L46" s="4" t="s">
        <v>64</v>
      </c>
      <c r="M46" s="4" t="s">
        <v>65</v>
      </c>
      <c r="N46" s="4" t="s">
        <v>66</v>
      </c>
      <c r="O46" s="5" t="s">
        <v>81</v>
      </c>
      <c r="P46" s="4" t="s">
        <v>55</v>
      </c>
      <c r="Q46" s="4" t="s">
        <v>56</v>
      </c>
      <c r="R46" s="4" t="s">
        <v>57</v>
      </c>
      <c r="S46" s="4" t="s">
        <v>58</v>
      </c>
      <c r="T46" s="4" t="s">
        <v>59</v>
      </c>
      <c r="U46" s="4" t="s">
        <v>60</v>
      </c>
      <c r="V46" s="4" t="s">
        <v>61</v>
      </c>
      <c r="W46" s="4" t="s">
        <v>62</v>
      </c>
      <c r="X46" s="4" t="s">
        <v>63</v>
      </c>
      <c r="Y46" s="4" t="s">
        <v>64</v>
      </c>
      <c r="Z46" s="4" t="s">
        <v>65</v>
      </c>
      <c r="AA46" s="4" t="s">
        <v>66</v>
      </c>
      <c r="AB46" s="5" t="s">
        <v>82</v>
      </c>
      <c r="AC46" s="4" t="s">
        <v>55</v>
      </c>
      <c r="AD46" s="4" t="s">
        <v>56</v>
      </c>
      <c r="AE46" s="4" t="s">
        <v>57</v>
      </c>
      <c r="AF46" s="4" t="s">
        <v>58</v>
      </c>
      <c r="AG46" s="4" t="s">
        <v>59</v>
      </c>
      <c r="AH46" s="4" t="s">
        <v>60</v>
      </c>
      <c r="AI46" s="4" t="s">
        <v>61</v>
      </c>
      <c r="AJ46" s="4" t="s">
        <v>62</v>
      </c>
      <c r="AK46" s="4" t="s">
        <v>63</v>
      </c>
      <c r="AL46" s="4" t="s">
        <v>64</v>
      </c>
      <c r="AM46" s="4" t="s">
        <v>65</v>
      </c>
      <c r="AN46" s="4" t="s">
        <v>66</v>
      </c>
      <c r="AO46" s="5" t="s">
        <v>83</v>
      </c>
      <c r="AP46" s="4" t="s">
        <v>55</v>
      </c>
      <c r="AQ46" s="4" t="s">
        <v>56</v>
      </c>
      <c r="AR46" s="4" t="s">
        <v>57</v>
      </c>
      <c r="AS46" s="4" t="s">
        <v>58</v>
      </c>
      <c r="AT46" s="4" t="s">
        <v>59</v>
      </c>
      <c r="AU46" s="4" t="s">
        <v>60</v>
      </c>
      <c r="AV46" s="4" t="s">
        <v>61</v>
      </c>
      <c r="AW46" s="4" t="s">
        <v>62</v>
      </c>
      <c r="AX46" s="4" t="s">
        <v>63</v>
      </c>
      <c r="AY46" s="4" t="s">
        <v>64</v>
      </c>
      <c r="AZ46" s="4" t="s">
        <v>65</v>
      </c>
      <c r="BA46" s="4" t="s">
        <v>66</v>
      </c>
      <c r="BB46" s="5" t="s">
        <v>84</v>
      </c>
      <c r="BC46" s="4" t="s">
        <v>55</v>
      </c>
      <c r="BD46" s="4" t="s">
        <v>56</v>
      </c>
      <c r="BE46" s="4" t="s">
        <v>57</v>
      </c>
      <c r="BF46" s="4" t="s">
        <v>58</v>
      </c>
      <c r="BG46" s="4" t="s">
        <v>59</v>
      </c>
      <c r="BH46" s="4" t="s">
        <v>60</v>
      </c>
      <c r="BI46" s="4" t="s">
        <v>61</v>
      </c>
      <c r="BJ46" s="4" t="s">
        <v>62</v>
      </c>
      <c r="BK46" s="4" t="s">
        <v>63</v>
      </c>
      <c r="BL46" s="4" t="s">
        <v>64</v>
      </c>
      <c r="BM46" s="4" t="s">
        <v>65</v>
      </c>
      <c r="BN46" s="4" t="s">
        <v>66</v>
      </c>
      <c r="BO46" s="5" t="s">
        <v>85</v>
      </c>
      <c r="BP46" s="4" t="s">
        <v>55</v>
      </c>
      <c r="BQ46" s="4" t="s">
        <v>56</v>
      </c>
      <c r="BR46" s="4" t="s">
        <v>57</v>
      </c>
      <c r="BS46" s="4" t="s">
        <v>58</v>
      </c>
      <c r="BT46" s="4" t="s">
        <v>59</v>
      </c>
      <c r="BU46" s="4" t="s">
        <v>60</v>
      </c>
      <c r="BV46" s="4" t="s">
        <v>61</v>
      </c>
      <c r="BW46" s="4" t="s">
        <v>62</v>
      </c>
      <c r="BX46" s="4" t="s">
        <v>63</v>
      </c>
      <c r="BY46" s="4" t="s">
        <v>64</v>
      </c>
      <c r="BZ46" s="4" t="s">
        <v>65</v>
      </c>
      <c r="CA46" s="4" t="s">
        <v>66</v>
      </c>
      <c r="CB46" s="5" t="s">
        <v>86</v>
      </c>
    </row>
    <row r="47" spans="2:80" ht="28.05" customHeight="1" x14ac:dyDescent="0.3">
      <c r="B47" s="6" t="s">
        <v>46</v>
      </c>
      <c r="C47" s="7">
        <v>1930914</v>
      </c>
      <c r="D47" s="7">
        <v>1930914</v>
      </c>
      <c r="E47" s="7">
        <v>1930914</v>
      </c>
      <c r="F47" s="7">
        <v>1930914</v>
      </c>
      <c r="G47" s="7">
        <v>1930914</v>
      </c>
      <c r="H47" s="7">
        <v>1930914</v>
      </c>
      <c r="I47" s="7">
        <v>1930914</v>
      </c>
      <c r="J47" s="7">
        <v>1930914</v>
      </c>
      <c r="K47" s="7">
        <v>1930914</v>
      </c>
      <c r="L47" s="7">
        <v>1930914</v>
      </c>
      <c r="M47" s="7">
        <v>1930914</v>
      </c>
      <c r="N47" s="7">
        <v>1930914</v>
      </c>
      <c r="O47" s="8">
        <f t="shared" ref="O47:O52" si="39">N47</f>
        <v>1930914</v>
      </c>
      <c r="P47" s="7">
        <v>298233</v>
      </c>
      <c r="Q47" s="7">
        <v>298233</v>
      </c>
      <c r="R47" s="7">
        <v>298233</v>
      </c>
      <c r="S47" s="7">
        <v>298233</v>
      </c>
      <c r="T47" s="7">
        <v>298233</v>
      </c>
      <c r="U47" s="7">
        <v>298233</v>
      </c>
      <c r="V47" s="7">
        <v>298233</v>
      </c>
      <c r="W47" s="7">
        <v>298233</v>
      </c>
      <c r="X47" s="7">
        <v>298233</v>
      </c>
      <c r="Y47" s="7">
        <v>298233</v>
      </c>
      <c r="Z47" s="7">
        <v>298233</v>
      </c>
      <c r="AA47" s="7">
        <v>298233</v>
      </c>
      <c r="AB47" s="8">
        <f t="shared" ref="AB47:AB52" si="40">AA47</f>
        <v>298233</v>
      </c>
      <c r="AC47" s="7">
        <v>22089448</v>
      </c>
      <c r="AD47" s="7">
        <v>22089448</v>
      </c>
      <c r="AE47" s="7">
        <v>22089448</v>
      </c>
      <c r="AF47" s="7">
        <v>22089448</v>
      </c>
      <c r="AG47" s="7">
        <v>22089448</v>
      </c>
      <c r="AH47" s="7">
        <v>22089448</v>
      </c>
      <c r="AI47" s="7">
        <v>22089448</v>
      </c>
      <c r="AJ47" s="7">
        <v>22089448</v>
      </c>
      <c r="AK47" s="7">
        <v>22089448</v>
      </c>
      <c r="AL47" s="7">
        <v>22089448</v>
      </c>
      <c r="AM47" s="7">
        <v>22089448</v>
      </c>
      <c r="AN47" s="7">
        <v>22089448</v>
      </c>
      <c r="AO47" s="8">
        <f t="shared" ref="AO47:AO52" si="41">AN47</f>
        <v>22089448</v>
      </c>
      <c r="AP47" s="7">
        <v>1135861</v>
      </c>
      <c r="AQ47" s="7">
        <v>1135861</v>
      </c>
      <c r="AR47" s="7">
        <v>1135861</v>
      </c>
      <c r="AS47" s="7">
        <v>1135861</v>
      </c>
      <c r="AT47" s="7">
        <v>1135861</v>
      </c>
      <c r="AU47" s="7">
        <v>1135861</v>
      </c>
      <c r="AV47" s="7">
        <v>1135861</v>
      </c>
      <c r="AW47" s="7">
        <v>1135861</v>
      </c>
      <c r="AX47" s="7">
        <v>1135861</v>
      </c>
      <c r="AY47" s="7">
        <v>1135861</v>
      </c>
      <c r="AZ47" s="7">
        <v>1135861</v>
      </c>
      <c r="BA47" s="7">
        <v>1135861</v>
      </c>
      <c r="BB47" s="8">
        <f t="shared" ref="BB47:BB52" si="42">BA47</f>
        <v>1135861</v>
      </c>
      <c r="BC47" s="7">
        <v>6540884</v>
      </c>
      <c r="BD47" s="7">
        <v>6540884</v>
      </c>
      <c r="BE47" s="7">
        <v>6540884</v>
      </c>
      <c r="BF47" s="7">
        <v>6540884</v>
      </c>
      <c r="BG47" s="7">
        <v>6540884</v>
      </c>
      <c r="BH47" s="7">
        <v>6540884</v>
      </c>
      <c r="BI47" s="7">
        <v>6540884</v>
      </c>
      <c r="BJ47" s="7">
        <v>6540884</v>
      </c>
      <c r="BK47" s="7">
        <v>6540884</v>
      </c>
      <c r="BL47" s="7">
        <v>6540884</v>
      </c>
      <c r="BM47" s="7">
        <v>6540884</v>
      </c>
      <c r="BN47" s="7">
        <v>6540884</v>
      </c>
      <c r="BO47" s="8">
        <f t="shared" ref="BO47:BO52" si="43">BN47</f>
        <v>6540884</v>
      </c>
      <c r="BP47" s="7">
        <v>1062955</v>
      </c>
      <c r="BQ47" s="7">
        <v>1062955</v>
      </c>
      <c r="BR47" s="7">
        <v>1062955</v>
      </c>
      <c r="BS47" s="7">
        <v>1062955</v>
      </c>
      <c r="BT47" s="7">
        <v>1062955</v>
      </c>
      <c r="BU47" s="7">
        <v>1062955</v>
      </c>
      <c r="BV47" s="7">
        <v>1062955</v>
      </c>
      <c r="BW47" s="9"/>
      <c r="BX47" s="9"/>
      <c r="BY47" s="9"/>
      <c r="BZ47" s="9"/>
      <c r="CA47" s="9"/>
      <c r="CB47" s="8">
        <f t="shared" ref="CB47:CB52" si="44">BV47</f>
        <v>1062955</v>
      </c>
    </row>
    <row r="48" spans="2:80" ht="28.05" customHeight="1" x14ac:dyDescent="0.3">
      <c r="B48" s="6" t="s">
        <v>47</v>
      </c>
      <c r="C48" s="7">
        <v>128859</v>
      </c>
      <c r="D48" s="7">
        <v>128859</v>
      </c>
      <c r="E48" s="7">
        <v>128859</v>
      </c>
      <c r="F48" s="7">
        <v>128859</v>
      </c>
      <c r="G48" s="7">
        <v>128859</v>
      </c>
      <c r="H48" s="7">
        <v>128859</v>
      </c>
      <c r="I48" s="7">
        <v>128859</v>
      </c>
      <c r="J48" s="7">
        <v>128859</v>
      </c>
      <c r="K48" s="7">
        <v>128859</v>
      </c>
      <c r="L48" s="7">
        <v>128859</v>
      </c>
      <c r="M48" s="7">
        <v>128859</v>
      </c>
      <c r="N48" s="7">
        <v>128859</v>
      </c>
      <c r="O48" s="8">
        <f t="shared" si="39"/>
        <v>128859</v>
      </c>
      <c r="P48" s="7">
        <v>130362</v>
      </c>
      <c r="Q48" s="7">
        <v>130362</v>
      </c>
      <c r="R48" s="7">
        <v>130362</v>
      </c>
      <c r="S48" s="7">
        <v>130362</v>
      </c>
      <c r="T48" s="7">
        <v>130362</v>
      </c>
      <c r="U48" s="7">
        <v>130362</v>
      </c>
      <c r="V48" s="7">
        <v>130362</v>
      </c>
      <c r="W48" s="7">
        <v>130362</v>
      </c>
      <c r="X48" s="7">
        <v>130362</v>
      </c>
      <c r="Y48" s="7">
        <v>130362</v>
      </c>
      <c r="Z48" s="7">
        <v>130362</v>
      </c>
      <c r="AA48" s="7">
        <v>130362</v>
      </c>
      <c r="AB48" s="8">
        <f t="shared" si="40"/>
        <v>130362</v>
      </c>
      <c r="AC48" s="7">
        <v>647086</v>
      </c>
      <c r="AD48" s="7">
        <v>647086</v>
      </c>
      <c r="AE48" s="7">
        <v>647086</v>
      </c>
      <c r="AF48" s="7">
        <v>647086</v>
      </c>
      <c r="AG48" s="7">
        <v>647086</v>
      </c>
      <c r="AH48" s="7">
        <v>647086</v>
      </c>
      <c r="AI48" s="7">
        <v>647086</v>
      </c>
      <c r="AJ48" s="7">
        <v>647086</v>
      </c>
      <c r="AK48" s="7">
        <v>647086</v>
      </c>
      <c r="AL48" s="7">
        <v>647086</v>
      </c>
      <c r="AM48" s="7">
        <v>647086</v>
      </c>
      <c r="AN48" s="7">
        <v>647086</v>
      </c>
      <c r="AO48" s="8">
        <f t="shared" si="41"/>
        <v>647086</v>
      </c>
      <c r="AP48" s="7">
        <v>856525</v>
      </c>
      <c r="AQ48" s="7">
        <v>856525</v>
      </c>
      <c r="AR48" s="7">
        <v>856525</v>
      </c>
      <c r="AS48" s="7">
        <v>856525</v>
      </c>
      <c r="AT48" s="7">
        <v>856525</v>
      </c>
      <c r="AU48" s="7">
        <v>856525</v>
      </c>
      <c r="AV48" s="7">
        <v>856525</v>
      </c>
      <c r="AW48" s="7">
        <v>856525</v>
      </c>
      <c r="AX48" s="7">
        <v>856525</v>
      </c>
      <c r="AY48" s="7">
        <v>856525</v>
      </c>
      <c r="AZ48" s="7">
        <v>856525</v>
      </c>
      <c r="BA48" s="7">
        <v>856525</v>
      </c>
      <c r="BB48" s="8">
        <f t="shared" si="42"/>
        <v>856525</v>
      </c>
      <c r="BC48" s="7">
        <v>1233864</v>
      </c>
      <c r="BD48" s="7">
        <v>1233864</v>
      </c>
      <c r="BE48" s="7">
        <v>1233864</v>
      </c>
      <c r="BF48" s="7">
        <v>1233864</v>
      </c>
      <c r="BG48" s="7">
        <v>1233864</v>
      </c>
      <c r="BH48" s="7">
        <v>1233864</v>
      </c>
      <c r="BI48" s="7">
        <v>1233864</v>
      </c>
      <c r="BJ48" s="7">
        <v>1233864</v>
      </c>
      <c r="BK48" s="7">
        <v>1233864</v>
      </c>
      <c r="BL48" s="7">
        <v>1233864</v>
      </c>
      <c r="BM48" s="7">
        <v>1233864</v>
      </c>
      <c r="BN48" s="7">
        <v>1233864</v>
      </c>
      <c r="BO48" s="8">
        <f t="shared" si="43"/>
        <v>1233864</v>
      </c>
      <c r="BP48" s="7">
        <v>651088</v>
      </c>
      <c r="BQ48" s="7">
        <v>651088</v>
      </c>
      <c r="BR48" s="7">
        <v>651088</v>
      </c>
      <c r="BS48" s="7">
        <v>651088</v>
      </c>
      <c r="BT48" s="7">
        <v>651088</v>
      </c>
      <c r="BU48" s="7">
        <v>651088</v>
      </c>
      <c r="BV48" s="7">
        <v>651088</v>
      </c>
      <c r="BW48" s="9"/>
      <c r="BX48" s="9"/>
      <c r="BY48" s="9"/>
      <c r="BZ48" s="9"/>
      <c r="CA48" s="9"/>
      <c r="CB48" s="8">
        <f t="shared" si="44"/>
        <v>651088</v>
      </c>
    </row>
    <row r="49" spans="2:80" ht="28.05" customHeight="1" x14ac:dyDescent="0.3">
      <c r="B49" s="6" t="s">
        <v>48</v>
      </c>
      <c r="C49" s="7">
        <v>160447</v>
      </c>
      <c r="D49" s="7">
        <v>160447</v>
      </c>
      <c r="E49" s="7">
        <v>160447</v>
      </c>
      <c r="F49" s="7">
        <v>160447</v>
      </c>
      <c r="G49" s="7">
        <v>160447</v>
      </c>
      <c r="H49" s="7">
        <v>160447</v>
      </c>
      <c r="I49" s="7">
        <v>160447</v>
      </c>
      <c r="J49" s="7">
        <v>160447</v>
      </c>
      <c r="K49" s="7">
        <v>160447</v>
      </c>
      <c r="L49" s="7">
        <v>160447</v>
      </c>
      <c r="M49" s="7">
        <v>160447</v>
      </c>
      <c r="N49" s="7">
        <v>160447</v>
      </c>
      <c r="O49" s="8">
        <f t="shared" si="39"/>
        <v>160447</v>
      </c>
      <c r="P49" s="7">
        <v>455326</v>
      </c>
      <c r="Q49" s="7">
        <v>455326</v>
      </c>
      <c r="R49" s="7">
        <v>455326</v>
      </c>
      <c r="S49" s="7">
        <v>455326</v>
      </c>
      <c r="T49" s="7">
        <v>455326</v>
      </c>
      <c r="U49" s="7">
        <v>455326</v>
      </c>
      <c r="V49" s="7">
        <v>455326</v>
      </c>
      <c r="W49" s="7">
        <v>455326</v>
      </c>
      <c r="X49" s="7">
        <v>455326</v>
      </c>
      <c r="Y49" s="7">
        <v>455326</v>
      </c>
      <c r="Z49" s="7">
        <v>455326</v>
      </c>
      <c r="AA49" s="7">
        <v>455326</v>
      </c>
      <c r="AB49" s="8">
        <f t="shared" si="40"/>
        <v>455326</v>
      </c>
      <c r="AC49" s="7">
        <v>622609</v>
      </c>
      <c r="AD49" s="7">
        <v>622609</v>
      </c>
      <c r="AE49" s="7">
        <v>622609</v>
      </c>
      <c r="AF49" s="7">
        <v>622609</v>
      </c>
      <c r="AG49" s="7">
        <v>622609</v>
      </c>
      <c r="AH49" s="7">
        <v>622609</v>
      </c>
      <c r="AI49" s="7">
        <v>622609</v>
      </c>
      <c r="AJ49" s="7">
        <v>622609</v>
      </c>
      <c r="AK49" s="7">
        <v>622609</v>
      </c>
      <c r="AL49" s="7">
        <v>622609</v>
      </c>
      <c r="AM49" s="7">
        <v>622609</v>
      </c>
      <c r="AN49" s="7">
        <v>622609</v>
      </c>
      <c r="AO49" s="8">
        <f t="shared" si="41"/>
        <v>622609</v>
      </c>
      <c r="AP49" s="7">
        <v>636104</v>
      </c>
      <c r="AQ49" s="7">
        <v>636104</v>
      </c>
      <c r="AR49" s="7">
        <v>636104</v>
      </c>
      <c r="AS49" s="7">
        <v>636104</v>
      </c>
      <c r="AT49" s="7">
        <v>636104</v>
      </c>
      <c r="AU49" s="7">
        <v>636104</v>
      </c>
      <c r="AV49" s="7">
        <v>636104</v>
      </c>
      <c r="AW49" s="7">
        <v>636104</v>
      </c>
      <c r="AX49" s="7">
        <v>636104</v>
      </c>
      <c r="AY49" s="7">
        <v>636104</v>
      </c>
      <c r="AZ49" s="7">
        <v>636104</v>
      </c>
      <c r="BA49" s="7">
        <v>636104</v>
      </c>
      <c r="BB49" s="8">
        <f t="shared" si="42"/>
        <v>636104</v>
      </c>
      <c r="BC49" s="7">
        <v>1352415</v>
      </c>
      <c r="BD49" s="7">
        <v>1352415</v>
      </c>
      <c r="BE49" s="7">
        <v>1352415</v>
      </c>
      <c r="BF49" s="7">
        <v>1352415</v>
      </c>
      <c r="BG49" s="7">
        <v>1352415</v>
      </c>
      <c r="BH49" s="7">
        <v>1352415</v>
      </c>
      <c r="BI49" s="7">
        <v>1352415</v>
      </c>
      <c r="BJ49" s="7">
        <v>1352415</v>
      </c>
      <c r="BK49" s="7">
        <v>1352415</v>
      </c>
      <c r="BL49" s="7">
        <v>1352415</v>
      </c>
      <c r="BM49" s="7">
        <v>1352415</v>
      </c>
      <c r="BN49" s="7">
        <v>1352415</v>
      </c>
      <c r="BO49" s="8">
        <f t="shared" si="43"/>
        <v>1352415</v>
      </c>
      <c r="BP49" s="7">
        <v>667445</v>
      </c>
      <c r="BQ49" s="7">
        <v>667445</v>
      </c>
      <c r="BR49" s="7">
        <v>667445</v>
      </c>
      <c r="BS49" s="7">
        <v>667445</v>
      </c>
      <c r="BT49" s="7">
        <v>667445</v>
      </c>
      <c r="BU49" s="7">
        <v>667445</v>
      </c>
      <c r="BV49" s="7">
        <v>667445</v>
      </c>
      <c r="BW49" s="9"/>
      <c r="BX49" s="9"/>
      <c r="BY49" s="9"/>
      <c r="BZ49" s="9"/>
      <c r="CA49" s="9"/>
      <c r="CB49" s="8">
        <f t="shared" si="44"/>
        <v>667445</v>
      </c>
    </row>
    <row r="50" spans="2:80" ht="28.05" customHeight="1" x14ac:dyDescent="0.3">
      <c r="B50" s="6" t="s">
        <v>49</v>
      </c>
      <c r="C50" s="7">
        <v>2902086</v>
      </c>
      <c r="D50" s="7">
        <v>2902086</v>
      </c>
      <c r="E50" s="7">
        <v>2902086</v>
      </c>
      <c r="F50" s="7">
        <v>2902086</v>
      </c>
      <c r="G50" s="7">
        <v>2902086</v>
      </c>
      <c r="H50" s="7">
        <v>2902086</v>
      </c>
      <c r="I50" s="7">
        <v>2902086</v>
      </c>
      <c r="J50" s="7">
        <v>2902086</v>
      </c>
      <c r="K50" s="7">
        <v>2902086</v>
      </c>
      <c r="L50" s="7">
        <v>2902086</v>
      </c>
      <c r="M50" s="7">
        <v>2902086</v>
      </c>
      <c r="N50" s="7">
        <v>2902086</v>
      </c>
      <c r="O50" s="8">
        <f t="shared" si="39"/>
        <v>2902086</v>
      </c>
      <c r="P50" s="7">
        <v>1322297</v>
      </c>
      <c r="Q50" s="7">
        <v>1322297</v>
      </c>
      <c r="R50" s="7">
        <v>1322297</v>
      </c>
      <c r="S50" s="7">
        <v>1322297</v>
      </c>
      <c r="T50" s="7">
        <v>1322297</v>
      </c>
      <c r="U50" s="7">
        <v>1322297</v>
      </c>
      <c r="V50" s="7">
        <v>1322297</v>
      </c>
      <c r="W50" s="7">
        <v>1322297</v>
      </c>
      <c r="X50" s="7">
        <v>1322297</v>
      </c>
      <c r="Y50" s="7">
        <v>1322297</v>
      </c>
      <c r="Z50" s="7">
        <v>1322297</v>
      </c>
      <c r="AA50" s="7">
        <v>1322297</v>
      </c>
      <c r="AB50" s="8">
        <f t="shared" si="40"/>
        <v>1322297</v>
      </c>
      <c r="AC50" s="7">
        <v>1814843</v>
      </c>
      <c r="AD50" s="7">
        <v>1814843</v>
      </c>
      <c r="AE50" s="7">
        <v>1814843</v>
      </c>
      <c r="AF50" s="7">
        <v>1814843</v>
      </c>
      <c r="AG50" s="7">
        <v>1814843</v>
      </c>
      <c r="AH50" s="7">
        <v>1814843</v>
      </c>
      <c r="AI50" s="7">
        <v>1814843</v>
      </c>
      <c r="AJ50" s="7">
        <v>1814843</v>
      </c>
      <c r="AK50" s="7">
        <v>1814843</v>
      </c>
      <c r="AL50" s="7">
        <v>1814843</v>
      </c>
      <c r="AM50" s="7">
        <v>1814843</v>
      </c>
      <c r="AN50" s="7">
        <v>1814843</v>
      </c>
      <c r="AO50" s="8">
        <f t="shared" si="41"/>
        <v>1814843</v>
      </c>
      <c r="AP50" s="7">
        <v>5152528</v>
      </c>
      <c r="AQ50" s="7">
        <v>5152528</v>
      </c>
      <c r="AR50" s="7">
        <v>5152528</v>
      </c>
      <c r="AS50" s="7">
        <v>5152528</v>
      </c>
      <c r="AT50" s="7">
        <v>5152528</v>
      </c>
      <c r="AU50" s="7">
        <v>5152528</v>
      </c>
      <c r="AV50" s="7">
        <v>5152528</v>
      </c>
      <c r="AW50" s="7">
        <v>5152528</v>
      </c>
      <c r="AX50" s="7">
        <v>5152528</v>
      </c>
      <c r="AY50" s="7">
        <v>5152528</v>
      </c>
      <c r="AZ50" s="7">
        <v>5152528</v>
      </c>
      <c r="BA50" s="7">
        <v>5152528</v>
      </c>
      <c r="BB50" s="8">
        <f t="shared" si="42"/>
        <v>5152528</v>
      </c>
      <c r="BC50" s="7">
        <v>2635679</v>
      </c>
      <c r="BD50" s="7">
        <v>2635679</v>
      </c>
      <c r="BE50" s="7">
        <v>2635679</v>
      </c>
      <c r="BF50" s="7">
        <v>2635679</v>
      </c>
      <c r="BG50" s="7">
        <v>2635679</v>
      </c>
      <c r="BH50" s="7">
        <v>2635679</v>
      </c>
      <c r="BI50" s="7">
        <v>2635679</v>
      </c>
      <c r="BJ50" s="7">
        <v>2635679</v>
      </c>
      <c r="BK50" s="7">
        <v>2635679</v>
      </c>
      <c r="BL50" s="7">
        <v>2635679</v>
      </c>
      <c r="BM50" s="7">
        <v>2635679</v>
      </c>
      <c r="BN50" s="7">
        <v>2635679</v>
      </c>
      <c r="BO50" s="8">
        <f t="shared" si="43"/>
        <v>2635679</v>
      </c>
      <c r="BP50" s="7">
        <v>2135157</v>
      </c>
      <c r="BQ50" s="7">
        <v>2135157</v>
      </c>
      <c r="BR50" s="7">
        <v>2135157</v>
      </c>
      <c r="BS50" s="7">
        <v>2135157</v>
      </c>
      <c r="BT50" s="7">
        <v>2135157</v>
      </c>
      <c r="BU50" s="7">
        <v>2135157</v>
      </c>
      <c r="BV50" s="7">
        <v>2135157</v>
      </c>
      <c r="BW50" s="9"/>
      <c r="BX50" s="9"/>
      <c r="BY50" s="9"/>
      <c r="BZ50" s="9"/>
      <c r="CA50" s="9"/>
      <c r="CB50" s="8">
        <f t="shared" si="44"/>
        <v>2135157</v>
      </c>
    </row>
    <row r="51" spans="2:80" ht="28.05" customHeight="1" x14ac:dyDescent="0.3">
      <c r="B51" s="6" t="s">
        <v>50</v>
      </c>
      <c r="C51" s="7">
        <v>103404</v>
      </c>
      <c r="D51" s="7">
        <v>103404</v>
      </c>
      <c r="E51" s="7">
        <v>103404</v>
      </c>
      <c r="F51" s="7">
        <v>103404</v>
      </c>
      <c r="G51" s="7">
        <v>103404</v>
      </c>
      <c r="H51" s="7">
        <v>103404</v>
      </c>
      <c r="I51" s="7">
        <v>103404</v>
      </c>
      <c r="J51" s="7">
        <v>103404</v>
      </c>
      <c r="K51" s="7">
        <v>103404</v>
      </c>
      <c r="L51" s="7">
        <v>103404</v>
      </c>
      <c r="M51" s="7">
        <v>103404</v>
      </c>
      <c r="N51" s="7">
        <v>103404</v>
      </c>
      <c r="O51" s="8">
        <f t="shared" si="39"/>
        <v>103404</v>
      </c>
      <c r="P51" s="7">
        <v>76973</v>
      </c>
      <c r="Q51" s="7">
        <v>76973</v>
      </c>
      <c r="R51" s="7">
        <v>76973</v>
      </c>
      <c r="S51" s="7">
        <v>76973</v>
      </c>
      <c r="T51" s="7">
        <v>76973</v>
      </c>
      <c r="U51" s="7">
        <v>76973</v>
      </c>
      <c r="V51" s="7">
        <v>76973</v>
      </c>
      <c r="W51" s="7">
        <v>76973</v>
      </c>
      <c r="X51" s="7">
        <v>76973</v>
      </c>
      <c r="Y51" s="7">
        <v>76973</v>
      </c>
      <c r="Z51" s="7">
        <v>76973</v>
      </c>
      <c r="AA51" s="7">
        <v>76973</v>
      </c>
      <c r="AB51" s="8">
        <f t="shared" si="40"/>
        <v>76973</v>
      </c>
      <c r="AC51" s="7">
        <v>240323</v>
      </c>
      <c r="AD51" s="7">
        <v>240323</v>
      </c>
      <c r="AE51" s="7">
        <v>240323</v>
      </c>
      <c r="AF51" s="7">
        <v>240323</v>
      </c>
      <c r="AG51" s="7">
        <v>240323</v>
      </c>
      <c r="AH51" s="7">
        <v>240323</v>
      </c>
      <c r="AI51" s="7">
        <v>240323</v>
      </c>
      <c r="AJ51" s="7">
        <v>240323</v>
      </c>
      <c r="AK51" s="7">
        <v>240323</v>
      </c>
      <c r="AL51" s="7">
        <v>240323</v>
      </c>
      <c r="AM51" s="7">
        <v>240323</v>
      </c>
      <c r="AN51" s="7">
        <v>240323</v>
      </c>
      <c r="AO51" s="8">
        <f t="shared" si="41"/>
        <v>240323</v>
      </c>
      <c r="AP51" s="7">
        <v>251537</v>
      </c>
      <c r="AQ51" s="7">
        <v>251537</v>
      </c>
      <c r="AR51" s="7">
        <v>251537</v>
      </c>
      <c r="AS51" s="7">
        <v>251537</v>
      </c>
      <c r="AT51" s="7">
        <v>251537</v>
      </c>
      <c r="AU51" s="7">
        <v>251537</v>
      </c>
      <c r="AV51" s="7">
        <v>251537</v>
      </c>
      <c r="AW51" s="7">
        <v>251537</v>
      </c>
      <c r="AX51" s="7">
        <v>251537</v>
      </c>
      <c r="AY51" s="7">
        <v>251537</v>
      </c>
      <c r="AZ51" s="7">
        <v>251537</v>
      </c>
      <c r="BA51" s="7">
        <v>251537</v>
      </c>
      <c r="BB51" s="8">
        <f t="shared" si="42"/>
        <v>251537</v>
      </c>
      <c r="BC51" s="7">
        <v>924967</v>
      </c>
      <c r="BD51" s="7">
        <v>924967</v>
      </c>
      <c r="BE51" s="7">
        <v>924967</v>
      </c>
      <c r="BF51" s="7">
        <v>924967</v>
      </c>
      <c r="BG51" s="7">
        <v>924967</v>
      </c>
      <c r="BH51" s="7">
        <v>924967</v>
      </c>
      <c r="BI51" s="7">
        <v>924967</v>
      </c>
      <c r="BJ51" s="7">
        <v>924967</v>
      </c>
      <c r="BK51" s="7">
        <v>924967</v>
      </c>
      <c r="BL51" s="7">
        <v>924967</v>
      </c>
      <c r="BM51" s="7">
        <v>924967</v>
      </c>
      <c r="BN51" s="7">
        <v>924967</v>
      </c>
      <c r="BO51" s="8">
        <f t="shared" si="43"/>
        <v>924967</v>
      </c>
      <c r="BP51" s="7">
        <v>294239</v>
      </c>
      <c r="BQ51" s="7">
        <v>294239</v>
      </c>
      <c r="BR51" s="7">
        <v>294239</v>
      </c>
      <c r="BS51" s="7">
        <v>294239</v>
      </c>
      <c r="BT51" s="7">
        <v>294239</v>
      </c>
      <c r="BU51" s="7">
        <v>294239</v>
      </c>
      <c r="BV51" s="7">
        <v>294239</v>
      </c>
      <c r="BW51" s="9"/>
      <c r="BX51" s="9"/>
      <c r="BY51" s="9"/>
      <c r="BZ51" s="9"/>
      <c r="CA51" s="9"/>
      <c r="CB51" s="8">
        <f t="shared" si="44"/>
        <v>294239</v>
      </c>
    </row>
    <row r="52" spans="2:80" ht="28.05" customHeight="1" x14ac:dyDescent="0.3">
      <c r="B52" s="6" t="s">
        <v>51</v>
      </c>
      <c r="C52" s="7">
        <v>107372</v>
      </c>
      <c r="D52" s="7">
        <v>107372</v>
      </c>
      <c r="E52" s="7">
        <v>107372</v>
      </c>
      <c r="F52" s="7">
        <v>107372</v>
      </c>
      <c r="G52" s="7">
        <v>107372</v>
      </c>
      <c r="H52" s="7">
        <v>107372</v>
      </c>
      <c r="I52" s="7">
        <v>107372</v>
      </c>
      <c r="J52" s="7">
        <v>107372</v>
      </c>
      <c r="K52" s="7">
        <v>107372</v>
      </c>
      <c r="L52" s="7">
        <v>107372</v>
      </c>
      <c r="M52" s="7">
        <v>107372</v>
      </c>
      <c r="N52" s="7">
        <v>107372</v>
      </c>
      <c r="O52" s="8">
        <f t="shared" si="39"/>
        <v>107372</v>
      </c>
      <c r="P52" s="7">
        <v>169485</v>
      </c>
      <c r="Q52" s="7">
        <v>169485</v>
      </c>
      <c r="R52" s="7">
        <v>169485</v>
      </c>
      <c r="S52" s="7">
        <v>169485</v>
      </c>
      <c r="T52" s="7">
        <v>169485</v>
      </c>
      <c r="U52" s="7">
        <v>169485</v>
      </c>
      <c r="V52" s="7">
        <v>169485</v>
      </c>
      <c r="W52" s="7">
        <v>169485</v>
      </c>
      <c r="X52" s="7">
        <v>169485</v>
      </c>
      <c r="Y52" s="7">
        <v>169485</v>
      </c>
      <c r="Z52" s="7">
        <v>169485</v>
      </c>
      <c r="AA52" s="7">
        <v>169485</v>
      </c>
      <c r="AB52" s="8">
        <f t="shared" si="40"/>
        <v>169485</v>
      </c>
      <c r="AC52" s="7">
        <v>556957</v>
      </c>
      <c r="AD52" s="7">
        <v>556957</v>
      </c>
      <c r="AE52" s="7">
        <v>556957</v>
      </c>
      <c r="AF52" s="7">
        <v>556957</v>
      </c>
      <c r="AG52" s="7">
        <v>556957</v>
      </c>
      <c r="AH52" s="7">
        <v>556957</v>
      </c>
      <c r="AI52" s="7">
        <v>556957</v>
      </c>
      <c r="AJ52" s="7">
        <v>556957</v>
      </c>
      <c r="AK52" s="7">
        <v>556957</v>
      </c>
      <c r="AL52" s="7">
        <v>556957</v>
      </c>
      <c r="AM52" s="7">
        <v>556957</v>
      </c>
      <c r="AN52" s="7">
        <v>556957</v>
      </c>
      <c r="AO52" s="8">
        <f t="shared" si="41"/>
        <v>556957</v>
      </c>
      <c r="AP52" s="7">
        <v>615757</v>
      </c>
      <c r="AQ52" s="7">
        <v>615757</v>
      </c>
      <c r="AR52" s="7">
        <v>615757</v>
      </c>
      <c r="AS52" s="7">
        <v>615757</v>
      </c>
      <c r="AT52" s="7">
        <v>615757</v>
      </c>
      <c r="AU52" s="7">
        <v>615757</v>
      </c>
      <c r="AV52" s="7">
        <v>615757</v>
      </c>
      <c r="AW52" s="7">
        <v>615757</v>
      </c>
      <c r="AX52" s="7">
        <v>615757</v>
      </c>
      <c r="AY52" s="7">
        <v>615757</v>
      </c>
      <c r="AZ52" s="7">
        <v>615757</v>
      </c>
      <c r="BA52" s="7">
        <v>615757</v>
      </c>
      <c r="BB52" s="8">
        <f t="shared" si="42"/>
        <v>615757</v>
      </c>
      <c r="BC52" s="7">
        <v>555640</v>
      </c>
      <c r="BD52" s="7">
        <v>555640</v>
      </c>
      <c r="BE52" s="7">
        <v>555640</v>
      </c>
      <c r="BF52" s="7">
        <v>555640</v>
      </c>
      <c r="BG52" s="7">
        <v>555640</v>
      </c>
      <c r="BH52" s="7">
        <v>555640</v>
      </c>
      <c r="BI52" s="7">
        <v>555640</v>
      </c>
      <c r="BJ52" s="7">
        <v>555640</v>
      </c>
      <c r="BK52" s="7">
        <v>555640</v>
      </c>
      <c r="BL52" s="7">
        <v>555640</v>
      </c>
      <c r="BM52" s="7">
        <v>555640</v>
      </c>
      <c r="BN52" s="7">
        <v>555640</v>
      </c>
      <c r="BO52" s="8">
        <f t="shared" si="43"/>
        <v>555640</v>
      </c>
      <c r="BP52" s="7">
        <v>392933</v>
      </c>
      <c r="BQ52" s="7">
        <v>392933</v>
      </c>
      <c r="BR52" s="7">
        <v>392933</v>
      </c>
      <c r="BS52" s="7">
        <v>392933</v>
      </c>
      <c r="BT52" s="7">
        <v>392933</v>
      </c>
      <c r="BU52" s="7">
        <v>392933</v>
      </c>
      <c r="BV52" s="7">
        <v>392933</v>
      </c>
      <c r="BW52" s="9"/>
      <c r="BX52" s="9"/>
      <c r="BY52" s="9"/>
      <c r="BZ52" s="9"/>
      <c r="CA52" s="9"/>
      <c r="CB52" s="8">
        <f t="shared" si="44"/>
        <v>392933</v>
      </c>
    </row>
    <row r="53" spans="2:80" ht="22.05" customHeight="1" x14ac:dyDescent="0.3">
      <c r="B53" s="3" t="s">
        <v>87</v>
      </c>
      <c r="C53" s="10">
        <f t="shared" ref="C53:AH53" si="45">SUM(C47:C52)</f>
        <v>5333082</v>
      </c>
      <c r="D53" s="10">
        <f t="shared" si="45"/>
        <v>5333082</v>
      </c>
      <c r="E53" s="10">
        <f t="shared" si="45"/>
        <v>5333082</v>
      </c>
      <c r="F53" s="10">
        <f t="shared" si="45"/>
        <v>5333082</v>
      </c>
      <c r="G53" s="10">
        <f t="shared" si="45"/>
        <v>5333082</v>
      </c>
      <c r="H53" s="10">
        <f t="shared" si="45"/>
        <v>5333082</v>
      </c>
      <c r="I53" s="10">
        <f t="shared" si="45"/>
        <v>5333082</v>
      </c>
      <c r="J53" s="10">
        <f t="shared" si="45"/>
        <v>5333082</v>
      </c>
      <c r="K53" s="10">
        <f t="shared" si="45"/>
        <v>5333082</v>
      </c>
      <c r="L53" s="10">
        <f t="shared" si="45"/>
        <v>5333082</v>
      </c>
      <c r="M53" s="10">
        <f t="shared" si="45"/>
        <v>5333082</v>
      </c>
      <c r="N53" s="10">
        <f t="shared" si="45"/>
        <v>5333082</v>
      </c>
      <c r="O53" s="10">
        <f t="shared" si="45"/>
        <v>5333082</v>
      </c>
      <c r="P53" s="10">
        <f t="shared" si="45"/>
        <v>2452676</v>
      </c>
      <c r="Q53" s="10">
        <f t="shared" si="45"/>
        <v>2452676</v>
      </c>
      <c r="R53" s="10">
        <f t="shared" si="45"/>
        <v>2452676</v>
      </c>
      <c r="S53" s="10">
        <f t="shared" si="45"/>
        <v>2452676</v>
      </c>
      <c r="T53" s="10">
        <f t="shared" si="45"/>
        <v>2452676</v>
      </c>
      <c r="U53" s="10">
        <f t="shared" si="45"/>
        <v>2452676</v>
      </c>
      <c r="V53" s="10">
        <f t="shared" si="45"/>
        <v>2452676</v>
      </c>
      <c r="W53" s="10">
        <f t="shared" si="45"/>
        <v>2452676</v>
      </c>
      <c r="X53" s="10">
        <f t="shared" si="45"/>
        <v>2452676</v>
      </c>
      <c r="Y53" s="10">
        <f t="shared" si="45"/>
        <v>2452676</v>
      </c>
      <c r="Z53" s="10">
        <f t="shared" si="45"/>
        <v>2452676</v>
      </c>
      <c r="AA53" s="10">
        <f t="shared" si="45"/>
        <v>2452676</v>
      </c>
      <c r="AB53" s="10">
        <f t="shared" si="45"/>
        <v>2452676</v>
      </c>
      <c r="AC53" s="10">
        <f t="shared" si="45"/>
        <v>25971266</v>
      </c>
      <c r="AD53" s="10">
        <f t="shared" si="45"/>
        <v>25971266</v>
      </c>
      <c r="AE53" s="10">
        <f t="shared" si="45"/>
        <v>25971266</v>
      </c>
      <c r="AF53" s="10">
        <f t="shared" si="45"/>
        <v>25971266</v>
      </c>
      <c r="AG53" s="10">
        <f t="shared" si="45"/>
        <v>25971266</v>
      </c>
      <c r="AH53" s="10">
        <f t="shared" si="45"/>
        <v>25971266</v>
      </c>
      <c r="AI53" s="10">
        <f t="shared" ref="AI53:BN53" si="46">SUM(AI47:AI52)</f>
        <v>25971266</v>
      </c>
      <c r="AJ53" s="10">
        <f t="shared" si="46"/>
        <v>25971266</v>
      </c>
      <c r="AK53" s="10">
        <f t="shared" si="46"/>
        <v>25971266</v>
      </c>
      <c r="AL53" s="10">
        <f t="shared" si="46"/>
        <v>25971266</v>
      </c>
      <c r="AM53" s="10">
        <f t="shared" si="46"/>
        <v>25971266</v>
      </c>
      <c r="AN53" s="10">
        <f t="shared" si="46"/>
        <v>25971266</v>
      </c>
      <c r="AO53" s="10">
        <f t="shared" si="46"/>
        <v>25971266</v>
      </c>
      <c r="AP53" s="10">
        <f t="shared" si="46"/>
        <v>8648312</v>
      </c>
      <c r="AQ53" s="10">
        <f t="shared" si="46"/>
        <v>8648312</v>
      </c>
      <c r="AR53" s="10">
        <f t="shared" si="46"/>
        <v>8648312</v>
      </c>
      <c r="AS53" s="10">
        <f t="shared" si="46"/>
        <v>8648312</v>
      </c>
      <c r="AT53" s="10">
        <f t="shared" si="46"/>
        <v>8648312</v>
      </c>
      <c r="AU53" s="10">
        <f t="shared" si="46"/>
        <v>8648312</v>
      </c>
      <c r="AV53" s="10">
        <f t="shared" si="46"/>
        <v>8648312</v>
      </c>
      <c r="AW53" s="10">
        <f t="shared" si="46"/>
        <v>8648312</v>
      </c>
      <c r="AX53" s="10">
        <f t="shared" si="46"/>
        <v>8648312</v>
      </c>
      <c r="AY53" s="10">
        <f t="shared" si="46"/>
        <v>8648312</v>
      </c>
      <c r="AZ53" s="10">
        <f t="shared" si="46"/>
        <v>8648312</v>
      </c>
      <c r="BA53" s="10">
        <f t="shared" si="46"/>
        <v>8648312</v>
      </c>
      <c r="BB53" s="10">
        <f t="shared" si="46"/>
        <v>8648312</v>
      </c>
      <c r="BC53" s="10">
        <f t="shared" si="46"/>
        <v>13243449</v>
      </c>
      <c r="BD53" s="10">
        <f t="shared" si="46"/>
        <v>13243449</v>
      </c>
      <c r="BE53" s="10">
        <f t="shared" si="46"/>
        <v>13243449</v>
      </c>
      <c r="BF53" s="10">
        <f t="shared" si="46"/>
        <v>13243449</v>
      </c>
      <c r="BG53" s="10">
        <f t="shared" si="46"/>
        <v>13243449</v>
      </c>
      <c r="BH53" s="10">
        <f t="shared" si="46"/>
        <v>13243449</v>
      </c>
      <c r="BI53" s="10">
        <f t="shared" si="46"/>
        <v>13243449</v>
      </c>
      <c r="BJ53" s="10">
        <f t="shared" si="46"/>
        <v>13243449</v>
      </c>
      <c r="BK53" s="10">
        <f t="shared" si="46"/>
        <v>13243449</v>
      </c>
      <c r="BL53" s="10">
        <f t="shared" si="46"/>
        <v>13243449</v>
      </c>
      <c r="BM53" s="10">
        <f t="shared" si="46"/>
        <v>13243449</v>
      </c>
      <c r="BN53" s="10">
        <f t="shared" si="46"/>
        <v>13243449</v>
      </c>
      <c r="BO53" s="10">
        <f t="shared" ref="BO53:CB53" si="47">SUM(BO47:BO52)</f>
        <v>13243449</v>
      </c>
      <c r="BP53" s="10">
        <f t="shared" si="47"/>
        <v>5203817</v>
      </c>
      <c r="BQ53" s="10">
        <f t="shared" si="47"/>
        <v>5203817</v>
      </c>
      <c r="BR53" s="10">
        <f t="shared" si="47"/>
        <v>5203817</v>
      </c>
      <c r="BS53" s="10">
        <f t="shared" si="47"/>
        <v>5203817</v>
      </c>
      <c r="BT53" s="10">
        <f t="shared" si="47"/>
        <v>5203817</v>
      </c>
      <c r="BU53" s="10">
        <f t="shared" si="47"/>
        <v>5203817</v>
      </c>
      <c r="BV53" s="10">
        <f t="shared" si="47"/>
        <v>5203817</v>
      </c>
      <c r="BW53" s="10">
        <f t="shared" si="47"/>
        <v>0</v>
      </c>
      <c r="BX53" s="10">
        <f t="shared" si="47"/>
        <v>0</v>
      </c>
      <c r="BY53" s="10">
        <f t="shared" si="47"/>
        <v>0</v>
      </c>
      <c r="BZ53" s="10">
        <f t="shared" si="47"/>
        <v>0</v>
      </c>
      <c r="CA53" s="10">
        <f t="shared" si="47"/>
        <v>0</v>
      </c>
      <c r="CB53" s="10">
        <f t="shared" si="47"/>
        <v>5203817</v>
      </c>
    </row>
    <row r="54" spans="2:80" x14ac:dyDescent="0.3">
      <c r="B54" s="58" t="s">
        <v>92</v>
      </c>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row>
    <row r="56" spans="2:80" ht="16.05" customHeight="1" x14ac:dyDescent="0.3">
      <c r="B56" s="62" t="s">
        <v>95</v>
      </c>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row>
    <row r="57" spans="2:80" ht="22.05" customHeight="1" x14ac:dyDescent="0.3">
      <c r="B57" s="2"/>
      <c r="C57" s="60">
        <v>2021</v>
      </c>
      <c r="D57" s="61"/>
      <c r="E57" s="61"/>
      <c r="F57" s="61"/>
      <c r="G57" s="61"/>
      <c r="H57" s="61"/>
      <c r="I57" s="61"/>
      <c r="J57" s="61"/>
      <c r="K57" s="61"/>
      <c r="L57" s="61"/>
      <c r="M57" s="61"/>
      <c r="N57" s="61"/>
      <c r="O57" s="61"/>
      <c r="P57" s="60">
        <v>2022</v>
      </c>
      <c r="Q57" s="61"/>
      <c r="R57" s="61"/>
      <c r="S57" s="61"/>
      <c r="T57" s="61"/>
      <c r="U57" s="61"/>
      <c r="V57" s="61"/>
      <c r="W57" s="61"/>
      <c r="X57" s="61"/>
      <c r="Y57" s="61"/>
      <c r="Z57" s="61"/>
      <c r="AA57" s="61"/>
      <c r="AB57" s="61"/>
      <c r="AC57" s="60">
        <v>2023</v>
      </c>
      <c r="AD57" s="61"/>
      <c r="AE57" s="61"/>
      <c r="AF57" s="61"/>
      <c r="AG57" s="61"/>
      <c r="AH57" s="61"/>
      <c r="AI57" s="61"/>
      <c r="AJ57" s="61"/>
      <c r="AK57" s="61"/>
      <c r="AL57" s="61"/>
      <c r="AM57" s="61"/>
      <c r="AN57" s="61"/>
      <c r="AO57" s="61"/>
      <c r="AP57" s="60">
        <v>2024</v>
      </c>
      <c r="AQ57" s="61"/>
      <c r="AR57" s="61"/>
      <c r="AS57" s="61"/>
      <c r="AT57" s="61"/>
      <c r="AU57" s="61"/>
      <c r="AV57" s="61"/>
      <c r="AW57" s="61"/>
      <c r="AX57" s="61"/>
      <c r="AY57" s="61"/>
      <c r="AZ57" s="61"/>
      <c r="BA57" s="61"/>
      <c r="BB57" s="61"/>
      <c r="BC57" s="60">
        <v>2025</v>
      </c>
      <c r="BD57" s="61"/>
      <c r="BE57" s="61"/>
      <c r="BF57" s="61"/>
      <c r="BG57" s="61"/>
      <c r="BH57" s="61"/>
      <c r="BI57" s="61"/>
      <c r="BJ57" s="61"/>
      <c r="BK57" s="61"/>
      <c r="BL57" s="61"/>
      <c r="BM57" s="61"/>
      <c r="BN57" s="61"/>
      <c r="BO57" s="61"/>
      <c r="BP57" s="60">
        <v>2026</v>
      </c>
      <c r="BQ57" s="61"/>
      <c r="BR57" s="61"/>
      <c r="BS57" s="61"/>
      <c r="BT57" s="61"/>
      <c r="BU57" s="61"/>
      <c r="BV57" s="61"/>
      <c r="BW57" s="61"/>
      <c r="BX57" s="61"/>
      <c r="BY57" s="61"/>
      <c r="BZ57" s="61"/>
      <c r="CA57" s="61"/>
      <c r="CB57" s="61"/>
    </row>
    <row r="58" spans="2:80" ht="28.05" customHeight="1" x14ac:dyDescent="0.3">
      <c r="B58" s="3" t="s">
        <v>80</v>
      </c>
      <c r="C58" s="4" t="s">
        <v>55</v>
      </c>
      <c r="D58" s="4" t="s">
        <v>56</v>
      </c>
      <c r="E58" s="4" t="s">
        <v>57</v>
      </c>
      <c r="F58" s="4" t="s">
        <v>58</v>
      </c>
      <c r="G58" s="4" t="s">
        <v>59</v>
      </c>
      <c r="H58" s="4" t="s">
        <v>60</v>
      </c>
      <c r="I58" s="4" t="s">
        <v>61</v>
      </c>
      <c r="J58" s="4" t="s">
        <v>62</v>
      </c>
      <c r="K58" s="4" t="s">
        <v>63</v>
      </c>
      <c r="L58" s="4" t="s">
        <v>64</v>
      </c>
      <c r="M58" s="4" t="s">
        <v>65</v>
      </c>
      <c r="N58" s="4" t="s">
        <v>66</v>
      </c>
      <c r="O58" s="5" t="s">
        <v>81</v>
      </c>
      <c r="P58" s="4" t="s">
        <v>55</v>
      </c>
      <c r="Q58" s="4" t="s">
        <v>56</v>
      </c>
      <c r="R58" s="4" t="s">
        <v>57</v>
      </c>
      <c r="S58" s="4" t="s">
        <v>58</v>
      </c>
      <c r="T58" s="4" t="s">
        <v>59</v>
      </c>
      <c r="U58" s="4" t="s">
        <v>60</v>
      </c>
      <c r="V58" s="4" t="s">
        <v>61</v>
      </c>
      <c r="W58" s="4" t="s">
        <v>62</v>
      </c>
      <c r="X58" s="4" t="s">
        <v>63</v>
      </c>
      <c r="Y58" s="4" t="s">
        <v>64</v>
      </c>
      <c r="Z58" s="4" t="s">
        <v>65</v>
      </c>
      <c r="AA58" s="4" t="s">
        <v>66</v>
      </c>
      <c r="AB58" s="5" t="s">
        <v>82</v>
      </c>
      <c r="AC58" s="4" t="s">
        <v>55</v>
      </c>
      <c r="AD58" s="4" t="s">
        <v>56</v>
      </c>
      <c r="AE58" s="4" t="s">
        <v>57</v>
      </c>
      <c r="AF58" s="4" t="s">
        <v>58</v>
      </c>
      <c r="AG58" s="4" t="s">
        <v>59</v>
      </c>
      <c r="AH58" s="4" t="s">
        <v>60</v>
      </c>
      <c r="AI58" s="4" t="s">
        <v>61</v>
      </c>
      <c r="AJ58" s="4" t="s">
        <v>62</v>
      </c>
      <c r="AK58" s="4" t="s">
        <v>63</v>
      </c>
      <c r="AL58" s="4" t="s">
        <v>64</v>
      </c>
      <c r="AM58" s="4" t="s">
        <v>65</v>
      </c>
      <c r="AN58" s="4" t="s">
        <v>66</v>
      </c>
      <c r="AO58" s="5" t="s">
        <v>83</v>
      </c>
      <c r="AP58" s="4" t="s">
        <v>55</v>
      </c>
      <c r="AQ58" s="4" t="s">
        <v>56</v>
      </c>
      <c r="AR58" s="4" t="s">
        <v>57</v>
      </c>
      <c r="AS58" s="4" t="s">
        <v>58</v>
      </c>
      <c r="AT58" s="4" t="s">
        <v>59</v>
      </c>
      <c r="AU58" s="4" t="s">
        <v>60</v>
      </c>
      <c r="AV58" s="4" t="s">
        <v>61</v>
      </c>
      <c r="AW58" s="4" t="s">
        <v>62</v>
      </c>
      <c r="AX58" s="4" t="s">
        <v>63</v>
      </c>
      <c r="AY58" s="4" t="s">
        <v>64</v>
      </c>
      <c r="AZ58" s="4" t="s">
        <v>65</v>
      </c>
      <c r="BA58" s="4" t="s">
        <v>66</v>
      </c>
      <c r="BB58" s="5" t="s">
        <v>84</v>
      </c>
      <c r="BC58" s="4" t="s">
        <v>55</v>
      </c>
      <c r="BD58" s="4" t="s">
        <v>56</v>
      </c>
      <c r="BE58" s="4" t="s">
        <v>57</v>
      </c>
      <c r="BF58" s="4" t="s">
        <v>58</v>
      </c>
      <c r="BG58" s="4" t="s">
        <v>59</v>
      </c>
      <c r="BH58" s="4" t="s">
        <v>60</v>
      </c>
      <c r="BI58" s="4" t="s">
        <v>61</v>
      </c>
      <c r="BJ58" s="4" t="s">
        <v>62</v>
      </c>
      <c r="BK58" s="4" t="s">
        <v>63</v>
      </c>
      <c r="BL58" s="4" t="s">
        <v>64</v>
      </c>
      <c r="BM58" s="4" t="s">
        <v>65</v>
      </c>
      <c r="BN58" s="4" t="s">
        <v>66</v>
      </c>
      <c r="BO58" s="5" t="s">
        <v>85</v>
      </c>
      <c r="BP58" s="4" t="s">
        <v>55</v>
      </c>
      <c r="BQ58" s="4" t="s">
        <v>56</v>
      </c>
      <c r="BR58" s="4" t="s">
        <v>57</v>
      </c>
      <c r="BS58" s="4" t="s">
        <v>58</v>
      </c>
      <c r="BT58" s="4" t="s">
        <v>59</v>
      </c>
      <c r="BU58" s="4" t="s">
        <v>60</v>
      </c>
      <c r="BV58" s="4" t="s">
        <v>61</v>
      </c>
      <c r="BW58" s="4" t="s">
        <v>62</v>
      </c>
      <c r="BX58" s="4" t="s">
        <v>63</v>
      </c>
      <c r="BY58" s="4" t="s">
        <v>64</v>
      </c>
      <c r="BZ58" s="4" t="s">
        <v>65</v>
      </c>
      <c r="CA58" s="4" t="s">
        <v>66</v>
      </c>
      <c r="CB58" s="5" t="s">
        <v>86</v>
      </c>
    </row>
    <row r="59" spans="2:80" ht="28.05" customHeight="1" x14ac:dyDescent="0.3">
      <c r="B59" s="6" t="s">
        <v>46</v>
      </c>
      <c r="C59" s="7">
        <v>1930914</v>
      </c>
      <c r="D59" s="7">
        <v>1930914</v>
      </c>
      <c r="E59" s="7">
        <v>3898492</v>
      </c>
      <c r="F59" s="7">
        <v>4709492</v>
      </c>
      <c r="G59" s="7">
        <v>4709492</v>
      </c>
      <c r="H59" s="7">
        <v>4731492</v>
      </c>
      <c r="I59" s="7">
        <v>4731492</v>
      </c>
      <c r="J59" s="7">
        <v>4832662</v>
      </c>
      <c r="K59" s="7">
        <v>4832662</v>
      </c>
      <c r="L59" s="7">
        <v>4832662</v>
      </c>
      <c r="M59" s="7">
        <v>4925662</v>
      </c>
      <c r="N59" s="7">
        <v>4819159</v>
      </c>
      <c r="O59" s="8">
        <f t="shared" ref="O59:O64" si="48">N59</f>
        <v>4819159</v>
      </c>
      <c r="P59" s="7">
        <v>298233</v>
      </c>
      <c r="Q59" s="7">
        <v>298233</v>
      </c>
      <c r="R59" s="7">
        <v>298233</v>
      </c>
      <c r="S59" s="7">
        <v>298233</v>
      </c>
      <c r="T59" s="7">
        <v>1895233</v>
      </c>
      <c r="U59" s="7">
        <v>1895233</v>
      </c>
      <c r="V59" s="7">
        <v>1895233</v>
      </c>
      <c r="W59" s="7">
        <v>1895233</v>
      </c>
      <c r="X59" s="7">
        <v>11893879</v>
      </c>
      <c r="Y59" s="7">
        <v>11893879</v>
      </c>
      <c r="Z59" s="7">
        <v>11893879</v>
      </c>
      <c r="AA59" s="7">
        <v>8468149</v>
      </c>
      <c r="AB59" s="8">
        <f t="shared" ref="AB59:AB64" si="49">AA59</f>
        <v>8468149</v>
      </c>
      <c r="AC59" s="7">
        <v>22089448</v>
      </c>
      <c r="AD59" s="7">
        <v>22089448</v>
      </c>
      <c r="AE59" s="7">
        <v>22089448</v>
      </c>
      <c r="AF59" s="7">
        <v>42047634</v>
      </c>
      <c r="AG59" s="7">
        <v>42281504</v>
      </c>
      <c r="AH59" s="7">
        <v>42281504</v>
      </c>
      <c r="AI59" s="7">
        <v>42281504</v>
      </c>
      <c r="AJ59" s="7">
        <v>42281504</v>
      </c>
      <c r="AK59" s="7">
        <v>44698344</v>
      </c>
      <c r="AL59" s="7">
        <v>44698344</v>
      </c>
      <c r="AM59" s="7">
        <v>44698344</v>
      </c>
      <c r="AN59" s="7">
        <v>7233990</v>
      </c>
      <c r="AO59" s="8">
        <f t="shared" ref="AO59:AO64" si="50">AN59</f>
        <v>7233990</v>
      </c>
      <c r="AP59" s="7">
        <v>1135861</v>
      </c>
      <c r="AQ59" s="7">
        <v>1135861</v>
      </c>
      <c r="AR59" s="7">
        <v>1135861</v>
      </c>
      <c r="AS59" s="7">
        <v>1135861</v>
      </c>
      <c r="AT59" s="7">
        <v>1135861</v>
      </c>
      <c r="AU59" s="7">
        <v>1135861</v>
      </c>
      <c r="AV59" s="7">
        <v>1135861</v>
      </c>
      <c r="AW59" s="7">
        <v>1135861</v>
      </c>
      <c r="AX59" s="7">
        <v>1135861</v>
      </c>
      <c r="AY59" s="7">
        <v>1135861</v>
      </c>
      <c r="AZ59" s="7">
        <v>1135861</v>
      </c>
      <c r="BA59" s="7">
        <v>1135861</v>
      </c>
      <c r="BB59" s="8">
        <f t="shared" ref="BB59:BB64" si="51">BA59</f>
        <v>1135861</v>
      </c>
      <c r="BC59" s="7">
        <v>6213840</v>
      </c>
      <c r="BD59" s="7">
        <v>6213840</v>
      </c>
      <c r="BE59" s="7">
        <v>6213840</v>
      </c>
      <c r="BF59" s="7">
        <v>6347840</v>
      </c>
      <c r="BG59" s="7">
        <v>6347840</v>
      </c>
      <c r="BH59" s="7">
        <v>6347840</v>
      </c>
      <c r="BI59" s="7">
        <v>6347840</v>
      </c>
      <c r="BJ59" s="7">
        <v>6347840</v>
      </c>
      <c r="BK59" s="7">
        <v>4559840</v>
      </c>
      <c r="BL59" s="7">
        <v>4559840</v>
      </c>
      <c r="BM59" s="7">
        <v>4559840</v>
      </c>
      <c r="BN59" s="7">
        <v>2245535</v>
      </c>
      <c r="BO59" s="8">
        <f t="shared" ref="BO59:BO64" si="52">BN59</f>
        <v>2245535</v>
      </c>
      <c r="BP59" s="7">
        <v>1062955</v>
      </c>
      <c r="BQ59" s="7">
        <v>1062955</v>
      </c>
      <c r="BR59" s="7">
        <v>1582955</v>
      </c>
      <c r="BS59" s="7">
        <v>1582955</v>
      </c>
      <c r="BT59" s="7">
        <v>1551066</v>
      </c>
      <c r="BU59" s="7">
        <v>1551066</v>
      </c>
      <c r="BV59" s="7">
        <v>1551066</v>
      </c>
      <c r="BW59" s="9"/>
      <c r="BX59" s="9"/>
      <c r="BY59" s="9"/>
      <c r="BZ59" s="9"/>
      <c r="CA59" s="9"/>
      <c r="CB59" s="8">
        <f t="shared" ref="CB59:CB64" si="53">BV59</f>
        <v>1551066</v>
      </c>
    </row>
    <row r="60" spans="2:80" ht="28.05" customHeight="1" x14ac:dyDescent="0.3">
      <c r="B60" s="6" t="s">
        <v>47</v>
      </c>
      <c r="C60" s="7">
        <v>128859</v>
      </c>
      <c r="D60" s="7">
        <v>128859</v>
      </c>
      <c r="E60" s="7">
        <v>128859</v>
      </c>
      <c r="F60" s="7">
        <v>128859</v>
      </c>
      <c r="G60" s="7">
        <v>128859</v>
      </c>
      <c r="H60" s="7">
        <v>128859</v>
      </c>
      <c r="I60" s="7">
        <v>128859</v>
      </c>
      <c r="J60" s="7">
        <v>128859</v>
      </c>
      <c r="K60" s="7">
        <v>128859</v>
      </c>
      <c r="L60" s="7">
        <v>128859</v>
      </c>
      <c r="M60" s="7">
        <v>128859</v>
      </c>
      <c r="N60" s="7">
        <v>708689</v>
      </c>
      <c r="O60" s="8">
        <f t="shared" si="48"/>
        <v>708689</v>
      </c>
      <c r="P60" s="7">
        <v>130362</v>
      </c>
      <c r="Q60" s="7">
        <v>130362</v>
      </c>
      <c r="R60" s="7">
        <v>130362</v>
      </c>
      <c r="S60" s="7">
        <v>130362</v>
      </c>
      <c r="T60" s="7">
        <v>130362</v>
      </c>
      <c r="U60" s="7">
        <v>130362</v>
      </c>
      <c r="V60" s="7">
        <v>130362</v>
      </c>
      <c r="W60" s="7">
        <v>130362</v>
      </c>
      <c r="X60" s="7">
        <v>1013888</v>
      </c>
      <c r="Y60" s="7">
        <v>1013888</v>
      </c>
      <c r="Z60" s="7">
        <v>1193375</v>
      </c>
      <c r="AA60" s="7">
        <v>1193375</v>
      </c>
      <c r="AB60" s="8">
        <f t="shared" si="49"/>
        <v>1193375</v>
      </c>
      <c r="AC60" s="7">
        <v>647086</v>
      </c>
      <c r="AD60" s="7">
        <v>647086</v>
      </c>
      <c r="AE60" s="7">
        <v>647086</v>
      </c>
      <c r="AF60" s="7">
        <v>647086</v>
      </c>
      <c r="AG60" s="7">
        <v>647086</v>
      </c>
      <c r="AH60" s="7">
        <v>647086</v>
      </c>
      <c r="AI60" s="7">
        <v>647086</v>
      </c>
      <c r="AJ60" s="7">
        <v>647086</v>
      </c>
      <c r="AK60" s="7">
        <v>647086</v>
      </c>
      <c r="AL60" s="7">
        <v>647086</v>
      </c>
      <c r="AM60" s="7">
        <v>647086</v>
      </c>
      <c r="AN60" s="7">
        <v>647086</v>
      </c>
      <c r="AO60" s="8">
        <f t="shared" si="50"/>
        <v>647086</v>
      </c>
      <c r="AP60" s="7">
        <v>856525</v>
      </c>
      <c r="AQ60" s="7">
        <v>856525</v>
      </c>
      <c r="AR60" s="7">
        <v>856525</v>
      </c>
      <c r="AS60" s="7">
        <v>856525</v>
      </c>
      <c r="AT60" s="7">
        <v>913626</v>
      </c>
      <c r="AU60" s="7">
        <v>913626</v>
      </c>
      <c r="AV60" s="7">
        <v>913626</v>
      </c>
      <c r="AW60" s="7">
        <v>913626</v>
      </c>
      <c r="AX60" s="7">
        <v>913626</v>
      </c>
      <c r="AY60" s="7">
        <v>913626</v>
      </c>
      <c r="AZ60" s="7">
        <v>913626</v>
      </c>
      <c r="BA60" s="7">
        <v>913626</v>
      </c>
      <c r="BB60" s="8">
        <f t="shared" si="51"/>
        <v>913626</v>
      </c>
      <c r="BC60" s="7">
        <v>1172171</v>
      </c>
      <c r="BD60" s="7">
        <v>1172171</v>
      </c>
      <c r="BE60" s="7">
        <v>1172171</v>
      </c>
      <c r="BF60" s="7">
        <v>1172171</v>
      </c>
      <c r="BG60" s="7">
        <v>1172171</v>
      </c>
      <c r="BH60" s="7">
        <v>1172171</v>
      </c>
      <c r="BI60" s="7">
        <v>1172171</v>
      </c>
      <c r="BJ60" s="7">
        <v>1172171</v>
      </c>
      <c r="BK60" s="7">
        <v>1172171</v>
      </c>
      <c r="BL60" s="7">
        <v>1172171</v>
      </c>
      <c r="BM60" s="7">
        <v>1172171</v>
      </c>
      <c r="BN60" s="7">
        <v>992552</v>
      </c>
      <c r="BO60" s="8">
        <f t="shared" si="52"/>
        <v>992552</v>
      </c>
      <c r="BP60" s="7">
        <v>651088</v>
      </c>
      <c r="BQ60" s="7">
        <v>651088</v>
      </c>
      <c r="BR60" s="7">
        <v>651088</v>
      </c>
      <c r="BS60" s="7">
        <v>651088</v>
      </c>
      <c r="BT60" s="7">
        <v>517480</v>
      </c>
      <c r="BU60" s="7">
        <v>517480</v>
      </c>
      <c r="BV60" s="7">
        <v>517480</v>
      </c>
      <c r="BW60" s="9"/>
      <c r="BX60" s="9"/>
      <c r="BY60" s="9"/>
      <c r="BZ60" s="9"/>
      <c r="CA60" s="9"/>
      <c r="CB60" s="8">
        <f t="shared" si="53"/>
        <v>517480</v>
      </c>
    </row>
    <row r="61" spans="2:80" ht="28.05" customHeight="1" x14ac:dyDescent="0.3">
      <c r="B61" s="6" t="s">
        <v>48</v>
      </c>
      <c r="C61" s="7">
        <v>160447</v>
      </c>
      <c r="D61" s="7">
        <v>160447</v>
      </c>
      <c r="E61" s="7">
        <v>160447</v>
      </c>
      <c r="F61" s="7">
        <v>160447</v>
      </c>
      <c r="G61" s="7">
        <v>160447</v>
      </c>
      <c r="H61" s="7">
        <v>160447</v>
      </c>
      <c r="I61" s="7">
        <v>160447</v>
      </c>
      <c r="J61" s="7">
        <v>160447</v>
      </c>
      <c r="K61" s="7">
        <v>160447</v>
      </c>
      <c r="L61" s="7">
        <v>160447</v>
      </c>
      <c r="M61" s="7">
        <v>160447</v>
      </c>
      <c r="N61" s="7">
        <v>160447</v>
      </c>
      <c r="O61" s="8">
        <f t="shared" si="48"/>
        <v>160447</v>
      </c>
      <c r="P61" s="7">
        <v>455326</v>
      </c>
      <c r="Q61" s="7">
        <v>455326</v>
      </c>
      <c r="R61" s="7">
        <v>455326</v>
      </c>
      <c r="S61" s="7">
        <v>455326</v>
      </c>
      <c r="T61" s="7">
        <v>455326</v>
      </c>
      <c r="U61" s="7">
        <v>455326</v>
      </c>
      <c r="V61" s="7">
        <v>455326</v>
      </c>
      <c r="W61" s="7">
        <v>455326</v>
      </c>
      <c r="X61" s="7">
        <v>455326</v>
      </c>
      <c r="Y61" s="7">
        <v>979017</v>
      </c>
      <c r="Z61" s="7">
        <v>979017</v>
      </c>
      <c r="AA61" s="7">
        <v>979017</v>
      </c>
      <c r="AB61" s="8">
        <f t="shared" si="49"/>
        <v>979017</v>
      </c>
      <c r="AC61" s="7">
        <v>622609</v>
      </c>
      <c r="AD61" s="7">
        <v>622609</v>
      </c>
      <c r="AE61" s="7">
        <v>622609</v>
      </c>
      <c r="AF61" s="7">
        <v>622609</v>
      </c>
      <c r="AG61" s="7">
        <v>622609</v>
      </c>
      <c r="AH61" s="7">
        <v>622609</v>
      </c>
      <c r="AI61" s="7">
        <v>622609</v>
      </c>
      <c r="AJ61" s="7">
        <v>622609</v>
      </c>
      <c r="AK61" s="7">
        <v>622609</v>
      </c>
      <c r="AL61" s="7">
        <v>622609</v>
      </c>
      <c r="AM61" s="7">
        <v>622609</v>
      </c>
      <c r="AN61" s="7">
        <v>428444</v>
      </c>
      <c r="AO61" s="8">
        <f t="shared" si="50"/>
        <v>428444</v>
      </c>
      <c r="AP61" s="7">
        <v>636104</v>
      </c>
      <c r="AQ61" s="7">
        <v>636104</v>
      </c>
      <c r="AR61" s="7">
        <v>636104</v>
      </c>
      <c r="AS61" s="7">
        <v>636104</v>
      </c>
      <c r="AT61" s="7">
        <v>636104</v>
      </c>
      <c r="AU61" s="7">
        <v>636104</v>
      </c>
      <c r="AV61" s="7">
        <v>636104</v>
      </c>
      <c r="AW61" s="7">
        <v>636104</v>
      </c>
      <c r="AX61" s="7">
        <v>636104</v>
      </c>
      <c r="AY61" s="7">
        <v>636104</v>
      </c>
      <c r="AZ61" s="7">
        <v>636104</v>
      </c>
      <c r="BA61" s="7">
        <v>636104</v>
      </c>
      <c r="BB61" s="8">
        <f t="shared" si="51"/>
        <v>636104</v>
      </c>
      <c r="BC61" s="7">
        <v>1284794</v>
      </c>
      <c r="BD61" s="7">
        <v>1284794</v>
      </c>
      <c r="BE61" s="7">
        <v>1284794</v>
      </c>
      <c r="BF61" s="7">
        <v>1284794</v>
      </c>
      <c r="BG61" s="7">
        <v>1284794</v>
      </c>
      <c r="BH61" s="7">
        <v>1284794</v>
      </c>
      <c r="BI61" s="7">
        <v>1284794</v>
      </c>
      <c r="BJ61" s="7">
        <v>1284794</v>
      </c>
      <c r="BK61" s="7">
        <v>1284794</v>
      </c>
      <c r="BL61" s="7">
        <v>1284794</v>
      </c>
      <c r="BM61" s="7">
        <v>1284794</v>
      </c>
      <c r="BN61" s="7">
        <v>1212027</v>
      </c>
      <c r="BO61" s="8">
        <f t="shared" si="52"/>
        <v>1212027</v>
      </c>
      <c r="BP61" s="7">
        <v>667445</v>
      </c>
      <c r="BQ61" s="7">
        <v>667445</v>
      </c>
      <c r="BR61" s="7">
        <v>667445</v>
      </c>
      <c r="BS61" s="7">
        <v>667445</v>
      </c>
      <c r="BT61" s="7">
        <v>488932</v>
      </c>
      <c r="BU61" s="7">
        <v>488932</v>
      </c>
      <c r="BV61" s="7">
        <v>488932</v>
      </c>
      <c r="BW61" s="9"/>
      <c r="BX61" s="9"/>
      <c r="BY61" s="9"/>
      <c r="BZ61" s="9"/>
      <c r="CA61" s="9"/>
      <c r="CB61" s="8">
        <f t="shared" si="53"/>
        <v>488932</v>
      </c>
    </row>
    <row r="62" spans="2:80" ht="28.05" customHeight="1" x14ac:dyDescent="0.3">
      <c r="B62" s="6" t="s">
        <v>49</v>
      </c>
      <c r="C62" s="7">
        <v>2902086</v>
      </c>
      <c r="D62" s="7">
        <v>2902086</v>
      </c>
      <c r="E62" s="7">
        <v>2902086</v>
      </c>
      <c r="F62" s="7">
        <v>2902086</v>
      </c>
      <c r="G62" s="7">
        <v>2902086</v>
      </c>
      <c r="H62" s="7">
        <v>2902086</v>
      </c>
      <c r="I62" s="7">
        <v>2902086</v>
      </c>
      <c r="J62" s="7">
        <v>2902086</v>
      </c>
      <c r="K62" s="7">
        <v>2902086</v>
      </c>
      <c r="L62" s="7">
        <v>2902086</v>
      </c>
      <c r="M62" s="7">
        <v>2902086</v>
      </c>
      <c r="N62" s="7">
        <v>486360</v>
      </c>
      <c r="O62" s="8">
        <f t="shared" si="48"/>
        <v>486360</v>
      </c>
      <c r="P62" s="7">
        <v>1322297</v>
      </c>
      <c r="Q62" s="7">
        <v>1322297</v>
      </c>
      <c r="R62" s="7">
        <v>1322297</v>
      </c>
      <c r="S62" s="7">
        <v>1322297</v>
      </c>
      <c r="T62" s="7">
        <v>1322297</v>
      </c>
      <c r="U62" s="7">
        <v>1322297</v>
      </c>
      <c r="V62" s="7">
        <v>1322297</v>
      </c>
      <c r="W62" s="7">
        <v>1322297</v>
      </c>
      <c r="X62" s="7">
        <v>1322297</v>
      </c>
      <c r="Y62" s="7">
        <v>1322297</v>
      </c>
      <c r="Z62" s="7">
        <v>1322297</v>
      </c>
      <c r="AA62" s="7">
        <v>958297</v>
      </c>
      <c r="AB62" s="8">
        <f t="shared" si="49"/>
        <v>958297</v>
      </c>
      <c r="AC62" s="7">
        <v>1814843</v>
      </c>
      <c r="AD62" s="7">
        <v>1814843</v>
      </c>
      <c r="AE62" s="7">
        <v>1814843</v>
      </c>
      <c r="AF62" s="7">
        <v>1814843</v>
      </c>
      <c r="AG62" s="7">
        <v>1814843</v>
      </c>
      <c r="AH62" s="7">
        <v>1814843</v>
      </c>
      <c r="AI62" s="7">
        <v>1814843</v>
      </c>
      <c r="AJ62" s="7">
        <v>1814843</v>
      </c>
      <c r="AK62" s="7">
        <v>1814843</v>
      </c>
      <c r="AL62" s="7">
        <v>1814843</v>
      </c>
      <c r="AM62" s="7">
        <v>1814843</v>
      </c>
      <c r="AN62" s="7">
        <v>687226</v>
      </c>
      <c r="AO62" s="8">
        <f t="shared" si="50"/>
        <v>687226</v>
      </c>
      <c r="AP62" s="7">
        <v>5152528</v>
      </c>
      <c r="AQ62" s="7">
        <v>5152528</v>
      </c>
      <c r="AR62" s="7">
        <v>5152528</v>
      </c>
      <c r="AS62" s="7">
        <v>5152528</v>
      </c>
      <c r="AT62" s="7">
        <v>5152528</v>
      </c>
      <c r="AU62" s="7">
        <v>5152528</v>
      </c>
      <c r="AV62" s="7">
        <v>5152528</v>
      </c>
      <c r="AW62" s="7">
        <v>5152528</v>
      </c>
      <c r="AX62" s="7">
        <v>5006428</v>
      </c>
      <c r="AY62" s="7">
        <v>5006428</v>
      </c>
      <c r="AZ62" s="7">
        <v>1731272</v>
      </c>
      <c r="BA62" s="7">
        <v>1731272</v>
      </c>
      <c r="BB62" s="8">
        <f t="shared" si="51"/>
        <v>1731272</v>
      </c>
      <c r="BC62" s="7">
        <v>2503895</v>
      </c>
      <c r="BD62" s="7">
        <v>2503895</v>
      </c>
      <c r="BE62" s="7">
        <v>2503895</v>
      </c>
      <c r="BF62" s="7">
        <v>2503895</v>
      </c>
      <c r="BG62" s="7">
        <v>2503895</v>
      </c>
      <c r="BH62" s="7">
        <v>2503895</v>
      </c>
      <c r="BI62" s="7">
        <v>2503895</v>
      </c>
      <c r="BJ62" s="7">
        <v>2503895</v>
      </c>
      <c r="BK62" s="7">
        <v>2503895</v>
      </c>
      <c r="BL62" s="7">
        <v>2503895</v>
      </c>
      <c r="BM62" s="7">
        <v>2503895</v>
      </c>
      <c r="BN62" s="7">
        <v>391705</v>
      </c>
      <c r="BO62" s="8">
        <f t="shared" si="52"/>
        <v>391705</v>
      </c>
      <c r="BP62" s="7">
        <v>2135157</v>
      </c>
      <c r="BQ62" s="7">
        <v>2135157</v>
      </c>
      <c r="BR62" s="7">
        <v>2135157</v>
      </c>
      <c r="BS62" s="7">
        <v>2135157</v>
      </c>
      <c r="BT62" s="7">
        <v>2071102</v>
      </c>
      <c r="BU62" s="7">
        <v>2071102</v>
      </c>
      <c r="BV62" s="7">
        <v>2071102</v>
      </c>
      <c r="BW62" s="9"/>
      <c r="BX62" s="9"/>
      <c r="BY62" s="9"/>
      <c r="BZ62" s="9"/>
      <c r="CA62" s="9"/>
      <c r="CB62" s="8">
        <f t="shared" si="53"/>
        <v>2071102</v>
      </c>
    </row>
    <row r="63" spans="2:80" ht="28.05" customHeight="1" x14ac:dyDescent="0.3">
      <c r="B63" s="6" t="s">
        <v>50</v>
      </c>
      <c r="C63" s="7">
        <v>103404</v>
      </c>
      <c r="D63" s="7">
        <v>103404</v>
      </c>
      <c r="E63" s="7">
        <v>103404</v>
      </c>
      <c r="F63" s="7">
        <v>103404</v>
      </c>
      <c r="G63" s="7">
        <v>103404</v>
      </c>
      <c r="H63" s="7">
        <v>103404</v>
      </c>
      <c r="I63" s="7">
        <v>103404</v>
      </c>
      <c r="J63" s="7">
        <v>103404</v>
      </c>
      <c r="K63" s="7">
        <v>103404</v>
      </c>
      <c r="L63" s="7">
        <v>103404</v>
      </c>
      <c r="M63" s="7">
        <v>103404</v>
      </c>
      <c r="N63" s="7">
        <v>103404</v>
      </c>
      <c r="O63" s="8">
        <f t="shared" si="48"/>
        <v>103404</v>
      </c>
      <c r="P63" s="7">
        <v>76973</v>
      </c>
      <c r="Q63" s="7">
        <v>76973</v>
      </c>
      <c r="R63" s="7">
        <v>76973</v>
      </c>
      <c r="S63" s="7">
        <v>76973</v>
      </c>
      <c r="T63" s="7">
        <v>162012</v>
      </c>
      <c r="U63" s="7">
        <v>162012</v>
      </c>
      <c r="V63" s="7">
        <v>162012</v>
      </c>
      <c r="W63" s="7">
        <v>162012</v>
      </c>
      <c r="X63" s="7">
        <v>162012</v>
      </c>
      <c r="Y63" s="7">
        <v>162012</v>
      </c>
      <c r="Z63" s="7">
        <v>162012</v>
      </c>
      <c r="AA63" s="7">
        <v>162012</v>
      </c>
      <c r="AB63" s="8">
        <f t="shared" si="49"/>
        <v>162012</v>
      </c>
      <c r="AC63" s="7">
        <v>240323</v>
      </c>
      <c r="AD63" s="7">
        <v>240323</v>
      </c>
      <c r="AE63" s="7">
        <v>240323</v>
      </c>
      <c r="AF63" s="7">
        <v>240323</v>
      </c>
      <c r="AG63" s="7">
        <v>240323</v>
      </c>
      <c r="AH63" s="7">
        <v>240323</v>
      </c>
      <c r="AI63" s="7">
        <v>240323</v>
      </c>
      <c r="AJ63" s="7">
        <v>240323</v>
      </c>
      <c r="AK63" s="7">
        <v>240323</v>
      </c>
      <c r="AL63" s="7">
        <v>240323</v>
      </c>
      <c r="AM63" s="7">
        <v>240323</v>
      </c>
      <c r="AN63" s="7">
        <v>240323</v>
      </c>
      <c r="AO63" s="8">
        <f t="shared" si="50"/>
        <v>240323</v>
      </c>
      <c r="AP63" s="7">
        <v>251537</v>
      </c>
      <c r="AQ63" s="7">
        <v>251537</v>
      </c>
      <c r="AR63" s="7">
        <v>251537</v>
      </c>
      <c r="AS63" s="7">
        <v>2079025</v>
      </c>
      <c r="AT63" s="7">
        <v>2107375</v>
      </c>
      <c r="AU63" s="7">
        <v>2107375</v>
      </c>
      <c r="AV63" s="7">
        <v>2107375</v>
      </c>
      <c r="AW63" s="7">
        <v>2107375</v>
      </c>
      <c r="AX63" s="7">
        <v>2107375</v>
      </c>
      <c r="AY63" s="7">
        <v>2107375</v>
      </c>
      <c r="AZ63" s="7">
        <v>2107375</v>
      </c>
      <c r="BA63" s="7">
        <v>1998403</v>
      </c>
      <c r="BB63" s="8">
        <f t="shared" si="51"/>
        <v>1998403</v>
      </c>
      <c r="BC63" s="7">
        <v>878719</v>
      </c>
      <c r="BD63" s="7">
        <v>878719</v>
      </c>
      <c r="BE63" s="7">
        <v>878719</v>
      </c>
      <c r="BF63" s="7">
        <v>878719</v>
      </c>
      <c r="BG63" s="7">
        <v>878719</v>
      </c>
      <c r="BH63" s="7">
        <v>878719</v>
      </c>
      <c r="BI63" s="7">
        <v>878719</v>
      </c>
      <c r="BJ63" s="7">
        <v>878719</v>
      </c>
      <c r="BK63" s="7">
        <v>878719</v>
      </c>
      <c r="BL63" s="7">
        <v>878719</v>
      </c>
      <c r="BM63" s="7">
        <v>878719</v>
      </c>
      <c r="BN63" s="7">
        <v>812930</v>
      </c>
      <c r="BO63" s="8">
        <f t="shared" si="52"/>
        <v>812930</v>
      </c>
      <c r="BP63" s="7">
        <v>294239</v>
      </c>
      <c r="BQ63" s="7">
        <v>294239</v>
      </c>
      <c r="BR63" s="7">
        <v>294239</v>
      </c>
      <c r="BS63" s="7">
        <v>294239</v>
      </c>
      <c r="BT63" s="7">
        <v>292976</v>
      </c>
      <c r="BU63" s="7">
        <v>292976</v>
      </c>
      <c r="BV63" s="7">
        <v>292976</v>
      </c>
      <c r="BW63" s="9"/>
      <c r="BX63" s="9"/>
      <c r="BY63" s="9"/>
      <c r="BZ63" s="9"/>
      <c r="CA63" s="9"/>
      <c r="CB63" s="8">
        <f t="shared" si="53"/>
        <v>292976</v>
      </c>
    </row>
    <row r="64" spans="2:80" ht="28.05" customHeight="1" x14ac:dyDescent="0.3">
      <c r="B64" s="6" t="s">
        <v>51</v>
      </c>
      <c r="C64" s="7">
        <v>107372</v>
      </c>
      <c r="D64" s="7">
        <v>107372</v>
      </c>
      <c r="E64" s="7">
        <v>107372</v>
      </c>
      <c r="F64" s="7">
        <v>107372</v>
      </c>
      <c r="G64" s="7">
        <v>107372</v>
      </c>
      <c r="H64" s="7">
        <v>107372</v>
      </c>
      <c r="I64" s="7">
        <v>107372</v>
      </c>
      <c r="J64" s="7">
        <v>107372</v>
      </c>
      <c r="K64" s="7">
        <v>107372</v>
      </c>
      <c r="L64" s="7">
        <v>107372</v>
      </c>
      <c r="M64" s="7">
        <v>107372</v>
      </c>
      <c r="N64" s="7">
        <v>107372</v>
      </c>
      <c r="O64" s="8">
        <f t="shared" si="48"/>
        <v>107372</v>
      </c>
      <c r="P64" s="7">
        <v>169485</v>
      </c>
      <c r="Q64" s="7">
        <v>169485</v>
      </c>
      <c r="R64" s="7">
        <v>169485</v>
      </c>
      <c r="S64" s="7">
        <v>169485</v>
      </c>
      <c r="T64" s="7">
        <v>169485</v>
      </c>
      <c r="U64" s="7">
        <v>169485</v>
      </c>
      <c r="V64" s="7">
        <v>169485</v>
      </c>
      <c r="W64" s="7">
        <v>169485</v>
      </c>
      <c r="X64" s="7">
        <v>169485</v>
      </c>
      <c r="Y64" s="7">
        <v>395850</v>
      </c>
      <c r="Z64" s="7">
        <v>395850</v>
      </c>
      <c r="AA64" s="7">
        <v>395850</v>
      </c>
      <c r="AB64" s="8">
        <f t="shared" si="49"/>
        <v>395850</v>
      </c>
      <c r="AC64" s="7">
        <v>556957</v>
      </c>
      <c r="AD64" s="7">
        <v>556957</v>
      </c>
      <c r="AE64" s="7">
        <v>556957</v>
      </c>
      <c r="AF64" s="7">
        <v>556957</v>
      </c>
      <c r="AG64" s="7">
        <v>556957</v>
      </c>
      <c r="AH64" s="7">
        <v>556957</v>
      </c>
      <c r="AI64" s="7">
        <v>556957</v>
      </c>
      <c r="AJ64" s="7">
        <v>556957</v>
      </c>
      <c r="AK64" s="7">
        <v>556957</v>
      </c>
      <c r="AL64" s="7">
        <v>556957</v>
      </c>
      <c r="AM64" s="7">
        <v>556957</v>
      </c>
      <c r="AN64" s="7">
        <v>556957</v>
      </c>
      <c r="AO64" s="8">
        <f t="shared" si="50"/>
        <v>556957</v>
      </c>
      <c r="AP64" s="7">
        <v>615757</v>
      </c>
      <c r="AQ64" s="7">
        <v>615757</v>
      </c>
      <c r="AR64" s="7">
        <v>615757</v>
      </c>
      <c r="AS64" s="7">
        <v>615757</v>
      </c>
      <c r="AT64" s="7">
        <v>615757</v>
      </c>
      <c r="AU64" s="7">
        <v>615757</v>
      </c>
      <c r="AV64" s="7">
        <v>615757</v>
      </c>
      <c r="AW64" s="7">
        <v>632257</v>
      </c>
      <c r="AX64" s="7">
        <v>632257</v>
      </c>
      <c r="AY64" s="7">
        <v>632257</v>
      </c>
      <c r="AZ64" s="7">
        <v>632257</v>
      </c>
      <c r="BA64" s="7">
        <v>632257</v>
      </c>
      <c r="BB64" s="8">
        <f t="shared" si="51"/>
        <v>632257</v>
      </c>
      <c r="BC64" s="7">
        <v>527858</v>
      </c>
      <c r="BD64" s="7">
        <v>527858</v>
      </c>
      <c r="BE64" s="7">
        <v>527858</v>
      </c>
      <c r="BF64" s="7">
        <v>527858</v>
      </c>
      <c r="BG64" s="7">
        <v>527858</v>
      </c>
      <c r="BH64" s="7">
        <v>527858</v>
      </c>
      <c r="BI64" s="7">
        <v>527858</v>
      </c>
      <c r="BJ64" s="7">
        <v>527858</v>
      </c>
      <c r="BK64" s="7">
        <v>527858</v>
      </c>
      <c r="BL64" s="7">
        <v>527858</v>
      </c>
      <c r="BM64" s="7">
        <v>527858</v>
      </c>
      <c r="BN64" s="7">
        <v>527858</v>
      </c>
      <c r="BO64" s="8">
        <f t="shared" si="52"/>
        <v>527858</v>
      </c>
      <c r="BP64" s="7">
        <v>392933</v>
      </c>
      <c r="BQ64" s="7">
        <v>392933</v>
      </c>
      <c r="BR64" s="7">
        <v>392933</v>
      </c>
      <c r="BS64" s="7">
        <v>392933</v>
      </c>
      <c r="BT64" s="7">
        <v>381145</v>
      </c>
      <c r="BU64" s="7">
        <v>381145</v>
      </c>
      <c r="BV64" s="7">
        <v>381145</v>
      </c>
      <c r="BW64" s="9"/>
      <c r="BX64" s="9"/>
      <c r="BY64" s="9"/>
      <c r="BZ64" s="9"/>
      <c r="CA64" s="9"/>
      <c r="CB64" s="8">
        <f t="shared" si="53"/>
        <v>381145</v>
      </c>
    </row>
    <row r="65" spans="2:80" ht="22.05" customHeight="1" x14ac:dyDescent="0.3">
      <c r="B65" s="3" t="s">
        <v>87</v>
      </c>
      <c r="C65" s="10">
        <f t="shared" ref="C65:AH65" si="54">SUM(C59:C64)</f>
        <v>5333082</v>
      </c>
      <c r="D65" s="10">
        <f t="shared" si="54"/>
        <v>5333082</v>
      </c>
      <c r="E65" s="10">
        <f t="shared" si="54"/>
        <v>7300660</v>
      </c>
      <c r="F65" s="10">
        <f t="shared" si="54"/>
        <v>8111660</v>
      </c>
      <c r="G65" s="10">
        <f t="shared" si="54"/>
        <v>8111660</v>
      </c>
      <c r="H65" s="10">
        <f t="shared" si="54"/>
        <v>8133660</v>
      </c>
      <c r="I65" s="10">
        <f t="shared" si="54"/>
        <v>8133660</v>
      </c>
      <c r="J65" s="10">
        <f t="shared" si="54"/>
        <v>8234830</v>
      </c>
      <c r="K65" s="10">
        <f t="shared" si="54"/>
        <v>8234830</v>
      </c>
      <c r="L65" s="10">
        <f t="shared" si="54"/>
        <v>8234830</v>
      </c>
      <c r="M65" s="10">
        <f t="shared" si="54"/>
        <v>8327830</v>
      </c>
      <c r="N65" s="10">
        <f t="shared" si="54"/>
        <v>6385431</v>
      </c>
      <c r="O65" s="10">
        <f t="shared" si="54"/>
        <v>6385431</v>
      </c>
      <c r="P65" s="10">
        <f t="shared" si="54"/>
        <v>2452676</v>
      </c>
      <c r="Q65" s="10">
        <f t="shared" si="54"/>
        <v>2452676</v>
      </c>
      <c r="R65" s="10">
        <f t="shared" si="54"/>
        <v>2452676</v>
      </c>
      <c r="S65" s="10">
        <f t="shared" si="54"/>
        <v>2452676</v>
      </c>
      <c r="T65" s="10">
        <f t="shared" si="54"/>
        <v>4134715</v>
      </c>
      <c r="U65" s="10">
        <f t="shared" si="54"/>
        <v>4134715</v>
      </c>
      <c r="V65" s="10">
        <f t="shared" si="54"/>
        <v>4134715</v>
      </c>
      <c r="W65" s="10">
        <f t="shared" si="54"/>
        <v>4134715</v>
      </c>
      <c r="X65" s="10">
        <f t="shared" si="54"/>
        <v>15016887</v>
      </c>
      <c r="Y65" s="10">
        <f t="shared" si="54"/>
        <v>15766943</v>
      </c>
      <c r="Z65" s="10">
        <f t="shared" si="54"/>
        <v>15946430</v>
      </c>
      <c r="AA65" s="10">
        <f t="shared" si="54"/>
        <v>12156700</v>
      </c>
      <c r="AB65" s="10">
        <f t="shared" si="54"/>
        <v>12156700</v>
      </c>
      <c r="AC65" s="10">
        <f t="shared" si="54"/>
        <v>25971266</v>
      </c>
      <c r="AD65" s="10">
        <f t="shared" si="54"/>
        <v>25971266</v>
      </c>
      <c r="AE65" s="10">
        <f t="shared" si="54"/>
        <v>25971266</v>
      </c>
      <c r="AF65" s="10">
        <f t="shared" si="54"/>
        <v>45929452</v>
      </c>
      <c r="AG65" s="10">
        <f t="shared" si="54"/>
        <v>46163322</v>
      </c>
      <c r="AH65" s="10">
        <f t="shared" si="54"/>
        <v>46163322</v>
      </c>
      <c r="AI65" s="10">
        <f t="shared" ref="AI65:BN65" si="55">SUM(AI59:AI64)</f>
        <v>46163322</v>
      </c>
      <c r="AJ65" s="10">
        <f t="shared" si="55"/>
        <v>46163322</v>
      </c>
      <c r="AK65" s="10">
        <f t="shared" si="55"/>
        <v>48580162</v>
      </c>
      <c r="AL65" s="10">
        <f t="shared" si="55"/>
        <v>48580162</v>
      </c>
      <c r="AM65" s="10">
        <f t="shared" si="55"/>
        <v>48580162</v>
      </c>
      <c r="AN65" s="10">
        <f t="shared" si="55"/>
        <v>9794026</v>
      </c>
      <c r="AO65" s="10">
        <f t="shared" si="55"/>
        <v>9794026</v>
      </c>
      <c r="AP65" s="10">
        <f t="shared" si="55"/>
        <v>8648312</v>
      </c>
      <c r="AQ65" s="10">
        <f t="shared" si="55"/>
        <v>8648312</v>
      </c>
      <c r="AR65" s="10">
        <f t="shared" si="55"/>
        <v>8648312</v>
      </c>
      <c r="AS65" s="10">
        <f t="shared" si="55"/>
        <v>10475800</v>
      </c>
      <c r="AT65" s="10">
        <f t="shared" si="55"/>
        <v>10561251</v>
      </c>
      <c r="AU65" s="10">
        <f t="shared" si="55"/>
        <v>10561251</v>
      </c>
      <c r="AV65" s="10">
        <f t="shared" si="55"/>
        <v>10561251</v>
      </c>
      <c r="AW65" s="10">
        <f t="shared" si="55"/>
        <v>10577751</v>
      </c>
      <c r="AX65" s="10">
        <f t="shared" si="55"/>
        <v>10431651</v>
      </c>
      <c r="AY65" s="10">
        <f t="shared" si="55"/>
        <v>10431651</v>
      </c>
      <c r="AZ65" s="10">
        <f t="shared" si="55"/>
        <v>7156495</v>
      </c>
      <c r="BA65" s="10">
        <f t="shared" si="55"/>
        <v>7047523</v>
      </c>
      <c r="BB65" s="10">
        <f t="shared" si="55"/>
        <v>7047523</v>
      </c>
      <c r="BC65" s="10">
        <f t="shared" si="55"/>
        <v>12581277</v>
      </c>
      <c r="BD65" s="10">
        <f t="shared" si="55"/>
        <v>12581277</v>
      </c>
      <c r="BE65" s="10">
        <f t="shared" si="55"/>
        <v>12581277</v>
      </c>
      <c r="BF65" s="10">
        <f t="shared" si="55"/>
        <v>12715277</v>
      </c>
      <c r="BG65" s="10">
        <f t="shared" si="55"/>
        <v>12715277</v>
      </c>
      <c r="BH65" s="10">
        <f t="shared" si="55"/>
        <v>12715277</v>
      </c>
      <c r="BI65" s="10">
        <f t="shared" si="55"/>
        <v>12715277</v>
      </c>
      <c r="BJ65" s="10">
        <f t="shared" si="55"/>
        <v>12715277</v>
      </c>
      <c r="BK65" s="10">
        <f t="shared" si="55"/>
        <v>10927277</v>
      </c>
      <c r="BL65" s="10">
        <f t="shared" si="55"/>
        <v>10927277</v>
      </c>
      <c r="BM65" s="10">
        <f t="shared" si="55"/>
        <v>10927277</v>
      </c>
      <c r="BN65" s="10">
        <f t="shared" si="55"/>
        <v>6182607</v>
      </c>
      <c r="BO65" s="10">
        <f t="shared" ref="BO65:CB65" si="56">SUM(BO59:BO64)</f>
        <v>6182607</v>
      </c>
      <c r="BP65" s="10">
        <f t="shared" si="56"/>
        <v>5203817</v>
      </c>
      <c r="BQ65" s="10">
        <f t="shared" si="56"/>
        <v>5203817</v>
      </c>
      <c r="BR65" s="10">
        <f t="shared" si="56"/>
        <v>5723817</v>
      </c>
      <c r="BS65" s="10">
        <f t="shared" si="56"/>
        <v>5723817</v>
      </c>
      <c r="BT65" s="10">
        <f t="shared" si="56"/>
        <v>5302701</v>
      </c>
      <c r="BU65" s="10">
        <f t="shared" si="56"/>
        <v>5302701</v>
      </c>
      <c r="BV65" s="10">
        <f t="shared" si="56"/>
        <v>5302701</v>
      </c>
      <c r="BW65" s="10">
        <f t="shared" si="56"/>
        <v>0</v>
      </c>
      <c r="BX65" s="10">
        <f t="shared" si="56"/>
        <v>0</v>
      </c>
      <c r="BY65" s="10">
        <f t="shared" si="56"/>
        <v>0</v>
      </c>
      <c r="BZ65" s="10">
        <f t="shared" si="56"/>
        <v>0</v>
      </c>
      <c r="CA65" s="10">
        <f t="shared" si="56"/>
        <v>0</v>
      </c>
      <c r="CB65" s="10">
        <f t="shared" si="56"/>
        <v>5302701</v>
      </c>
    </row>
    <row r="66" spans="2:80" x14ac:dyDescent="0.3">
      <c r="B66" s="58" t="s">
        <v>92</v>
      </c>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row>
    <row r="68" spans="2:80" ht="16.05" customHeight="1" x14ac:dyDescent="0.3">
      <c r="B68" s="62" t="s">
        <v>96</v>
      </c>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row>
    <row r="69" spans="2:80" ht="22.05" customHeight="1" x14ac:dyDescent="0.3">
      <c r="B69" s="2"/>
      <c r="C69" s="60">
        <v>2021</v>
      </c>
      <c r="D69" s="61"/>
      <c r="E69" s="61"/>
      <c r="F69" s="61"/>
      <c r="G69" s="61"/>
      <c r="H69" s="61"/>
      <c r="I69" s="61"/>
      <c r="J69" s="61"/>
      <c r="K69" s="61"/>
      <c r="L69" s="61"/>
      <c r="M69" s="61"/>
      <c r="N69" s="61"/>
      <c r="O69" s="61"/>
      <c r="P69" s="60">
        <v>2022</v>
      </c>
      <c r="Q69" s="61"/>
      <c r="R69" s="61"/>
      <c r="S69" s="61"/>
      <c r="T69" s="61"/>
      <c r="U69" s="61"/>
      <c r="V69" s="61"/>
      <c r="W69" s="61"/>
      <c r="X69" s="61"/>
      <c r="Y69" s="61"/>
      <c r="Z69" s="61"/>
      <c r="AA69" s="61"/>
      <c r="AB69" s="61"/>
      <c r="AC69" s="60">
        <v>2023</v>
      </c>
      <c r="AD69" s="61"/>
      <c r="AE69" s="61"/>
      <c r="AF69" s="61"/>
      <c r="AG69" s="61"/>
      <c r="AH69" s="61"/>
      <c r="AI69" s="61"/>
      <c r="AJ69" s="61"/>
      <c r="AK69" s="61"/>
      <c r="AL69" s="61"/>
      <c r="AM69" s="61"/>
      <c r="AN69" s="61"/>
      <c r="AO69" s="61"/>
      <c r="AP69" s="60">
        <v>2024</v>
      </c>
      <c r="AQ69" s="61"/>
      <c r="AR69" s="61"/>
      <c r="AS69" s="61"/>
      <c r="AT69" s="61"/>
      <c r="AU69" s="61"/>
      <c r="AV69" s="61"/>
      <c r="AW69" s="61"/>
      <c r="AX69" s="61"/>
      <c r="AY69" s="61"/>
      <c r="AZ69" s="61"/>
      <c r="BA69" s="61"/>
      <c r="BB69" s="61"/>
      <c r="BC69" s="60">
        <v>2025</v>
      </c>
      <c r="BD69" s="61"/>
      <c r="BE69" s="61"/>
      <c r="BF69" s="61"/>
      <c r="BG69" s="61"/>
      <c r="BH69" s="61"/>
      <c r="BI69" s="61"/>
      <c r="BJ69" s="61"/>
      <c r="BK69" s="61"/>
      <c r="BL69" s="61"/>
      <c r="BM69" s="61"/>
      <c r="BN69" s="61"/>
      <c r="BO69" s="61"/>
      <c r="BP69" s="60">
        <v>2026</v>
      </c>
      <c r="BQ69" s="61"/>
      <c r="BR69" s="61"/>
      <c r="BS69" s="61"/>
      <c r="BT69" s="61"/>
      <c r="BU69" s="61"/>
      <c r="BV69" s="61"/>
      <c r="BW69" s="61"/>
      <c r="BX69" s="61"/>
      <c r="BY69" s="61"/>
      <c r="BZ69" s="61"/>
      <c r="CA69" s="61"/>
      <c r="CB69" s="61"/>
    </row>
    <row r="70" spans="2:80" ht="28.05" customHeight="1" x14ac:dyDescent="0.3">
      <c r="B70" s="3" t="s">
        <v>80</v>
      </c>
      <c r="C70" s="4" t="s">
        <v>55</v>
      </c>
      <c r="D70" s="4" t="s">
        <v>56</v>
      </c>
      <c r="E70" s="4" t="s">
        <v>57</v>
      </c>
      <c r="F70" s="4" t="s">
        <v>58</v>
      </c>
      <c r="G70" s="4" t="s">
        <v>59</v>
      </c>
      <c r="H70" s="4" t="s">
        <v>60</v>
      </c>
      <c r="I70" s="4" t="s">
        <v>61</v>
      </c>
      <c r="J70" s="4" t="s">
        <v>62</v>
      </c>
      <c r="K70" s="4" t="s">
        <v>63</v>
      </c>
      <c r="L70" s="4" t="s">
        <v>64</v>
      </c>
      <c r="M70" s="4" t="s">
        <v>65</v>
      </c>
      <c r="N70" s="4" t="s">
        <v>66</v>
      </c>
      <c r="O70" s="5" t="s">
        <v>81</v>
      </c>
      <c r="P70" s="4" t="s">
        <v>55</v>
      </c>
      <c r="Q70" s="4" t="s">
        <v>56</v>
      </c>
      <c r="R70" s="4" t="s">
        <v>57</v>
      </c>
      <c r="S70" s="4" t="s">
        <v>58</v>
      </c>
      <c r="T70" s="4" t="s">
        <v>59</v>
      </c>
      <c r="U70" s="4" t="s">
        <v>60</v>
      </c>
      <c r="V70" s="4" t="s">
        <v>61</v>
      </c>
      <c r="W70" s="4" t="s">
        <v>62</v>
      </c>
      <c r="X70" s="4" t="s">
        <v>63</v>
      </c>
      <c r="Y70" s="4" t="s">
        <v>64</v>
      </c>
      <c r="Z70" s="4" t="s">
        <v>65</v>
      </c>
      <c r="AA70" s="4" t="s">
        <v>66</v>
      </c>
      <c r="AB70" s="5" t="s">
        <v>82</v>
      </c>
      <c r="AC70" s="4" t="s">
        <v>55</v>
      </c>
      <c r="AD70" s="4" t="s">
        <v>56</v>
      </c>
      <c r="AE70" s="4" t="s">
        <v>57</v>
      </c>
      <c r="AF70" s="4" t="s">
        <v>58</v>
      </c>
      <c r="AG70" s="4" t="s">
        <v>59</v>
      </c>
      <c r="AH70" s="4" t="s">
        <v>60</v>
      </c>
      <c r="AI70" s="4" t="s">
        <v>61</v>
      </c>
      <c r="AJ70" s="4" t="s">
        <v>62</v>
      </c>
      <c r="AK70" s="4" t="s">
        <v>63</v>
      </c>
      <c r="AL70" s="4" t="s">
        <v>64</v>
      </c>
      <c r="AM70" s="4" t="s">
        <v>65</v>
      </c>
      <c r="AN70" s="4" t="s">
        <v>66</v>
      </c>
      <c r="AO70" s="5" t="s">
        <v>83</v>
      </c>
      <c r="AP70" s="4" t="s">
        <v>55</v>
      </c>
      <c r="AQ70" s="4" t="s">
        <v>56</v>
      </c>
      <c r="AR70" s="4" t="s">
        <v>57</v>
      </c>
      <c r="AS70" s="4" t="s">
        <v>58</v>
      </c>
      <c r="AT70" s="4" t="s">
        <v>59</v>
      </c>
      <c r="AU70" s="4" t="s">
        <v>60</v>
      </c>
      <c r="AV70" s="4" t="s">
        <v>61</v>
      </c>
      <c r="AW70" s="4" t="s">
        <v>62</v>
      </c>
      <c r="AX70" s="4" t="s">
        <v>63</v>
      </c>
      <c r="AY70" s="4" t="s">
        <v>64</v>
      </c>
      <c r="AZ70" s="4" t="s">
        <v>65</v>
      </c>
      <c r="BA70" s="4" t="s">
        <v>66</v>
      </c>
      <c r="BB70" s="5" t="s">
        <v>84</v>
      </c>
      <c r="BC70" s="4" t="s">
        <v>55</v>
      </c>
      <c r="BD70" s="4" t="s">
        <v>56</v>
      </c>
      <c r="BE70" s="4" t="s">
        <v>57</v>
      </c>
      <c r="BF70" s="4" t="s">
        <v>58</v>
      </c>
      <c r="BG70" s="4" t="s">
        <v>59</v>
      </c>
      <c r="BH70" s="4" t="s">
        <v>60</v>
      </c>
      <c r="BI70" s="4" t="s">
        <v>61</v>
      </c>
      <c r="BJ70" s="4" t="s">
        <v>62</v>
      </c>
      <c r="BK70" s="4" t="s">
        <v>63</v>
      </c>
      <c r="BL70" s="4" t="s">
        <v>64</v>
      </c>
      <c r="BM70" s="4" t="s">
        <v>65</v>
      </c>
      <c r="BN70" s="4" t="s">
        <v>66</v>
      </c>
      <c r="BO70" s="5" t="s">
        <v>85</v>
      </c>
      <c r="BP70" s="4" t="s">
        <v>55</v>
      </c>
      <c r="BQ70" s="4" t="s">
        <v>56</v>
      </c>
      <c r="BR70" s="4" t="s">
        <v>57</v>
      </c>
      <c r="BS70" s="4" t="s">
        <v>58</v>
      </c>
      <c r="BT70" s="4" t="s">
        <v>59</v>
      </c>
      <c r="BU70" s="4" t="s">
        <v>60</v>
      </c>
      <c r="BV70" s="4" t="s">
        <v>61</v>
      </c>
      <c r="BW70" s="4" t="s">
        <v>62</v>
      </c>
      <c r="BX70" s="4" t="s">
        <v>63</v>
      </c>
      <c r="BY70" s="4" t="s">
        <v>64</v>
      </c>
      <c r="BZ70" s="4" t="s">
        <v>65</v>
      </c>
      <c r="CA70" s="4" t="s">
        <v>66</v>
      </c>
      <c r="CB70" s="5" t="s">
        <v>86</v>
      </c>
    </row>
    <row r="71" spans="2:80" ht="28.05" customHeight="1" x14ac:dyDescent="0.3">
      <c r="B71" s="6" t="s">
        <v>46</v>
      </c>
      <c r="C71" s="7">
        <v>0</v>
      </c>
      <c r="D71" s="7">
        <v>425938</v>
      </c>
      <c r="E71" s="7">
        <v>1462761</v>
      </c>
      <c r="F71" s="7">
        <v>1465974</v>
      </c>
      <c r="G71" s="7">
        <v>1481099</v>
      </c>
      <c r="H71" s="7">
        <v>1512434</v>
      </c>
      <c r="I71" s="7">
        <v>2183844</v>
      </c>
      <c r="J71" s="7">
        <v>2347779</v>
      </c>
      <c r="K71" s="7">
        <v>2386510</v>
      </c>
      <c r="L71" s="7">
        <v>2529946</v>
      </c>
      <c r="M71" s="7">
        <v>3094655</v>
      </c>
      <c r="N71" s="7">
        <v>4799532</v>
      </c>
      <c r="O71" s="8">
        <f t="shared" ref="O71:O76" si="57">N71</f>
        <v>4799532</v>
      </c>
      <c r="P71" s="7">
        <v>0</v>
      </c>
      <c r="Q71" s="7">
        <v>0</v>
      </c>
      <c r="R71" s="7">
        <v>0</v>
      </c>
      <c r="S71" s="7">
        <v>0</v>
      </c>
      <c r="T71" s="7">
        <v>109962</v>
      </c>
      <c r="U71" s="7">
        <v>110961</v>
      </c>
      <c r="V71" s="7">
        <v>111701</v>
      </c>
      <c r="W71" s="7">
        <v>117198</v>
      </c>
      <c r="X71" s="7">
        <v>205350</v>
      </c>
      <c r="Y71" s="7">
        <v>218231</v>
      </c>
      <c r="Z71" s="7">
        <v>306659</v>
      </c>
      <c r="AA71" s="7">
        <v>8421395</v>
      </c>
      <c r="AB71" s="8">
        <f t="shared" ref="AB71:AB76" si="58">AA71</f>
        <v>8421395</v>
      </c>
      <c r="AC71" s="7">
        <v>0</v>
      </c>
      <c r="AD71" s="7">
        <v>0</v>
      </c>
      <c r="AE71" s="7">
        <v>2948</v>
      </c>
      <c r="AF71" s="7">
        <v>4062</v>
      </c>
      <c r="AG71" s="7">
        <v>190131</v>
      </c>
      <c r="AH71" s="7">
        <v>222054</v>
      </c>
      <c r="AI71" s="7">
        <v>245430</v>
      </c>
      <c r="AJ71" s="7">
        <v>275973</v>
      </c>
      <c r="AK71" s="7">
        <v>456665</v>
      </c>
      <c r="AL71" s="7">
        <v>720929</v>
      </c>
      <c r="AM71" s="7">
        <v>963668</v>
      </c>
      <c r="AN71" s="7">
        <v>7135336</v>
      </c>
      <c r="AO71" s="8">
        <f t="shared" ref="AO71:AO76" si="59">AN71</f>
        <v>7135336</v>
      </c>
      <c r="AP71" s="7">
        <v>0</v>
      </c>
      <c r="AQ71" s="7">
        <v>0</v>
      </c>
      <c r="AR71" s="7">
        <v>0</v>
      </c>
      <c r="AS71" s="7">
        <v>0</v>
      </c>
      <c r="AT71" s="7">
        <v>1714</v>
      </c>
      <c r="AU71" s="7">
        <v>3731</v>
      </c>
      <c r="AV71" s="7">
        <v>3731</v>
      </c>
      <c r="AW71" s="7">
        <v>53443</v>
      </c>
      <c r="AX71" s="7">
        <v>187144</v>
      </c>
      <c r="AY71" s="7">
        <v>187248</v>
      </c>
      <c r="AZ71" s="7">
        <v>221037</v>
      </c>
      <c r="BA71" s="7">
        <v>1123525</v>
      </c>
      <c r="BB71" s="8">
        <f t="shared" ref="BB71:BB76" si="60">BA71</f>
        <v>1123525</v>
      </c>
      <c r="BC71" s="7">
        <v>0</v>
      </c>
      <c r="BD71" s="7">
        <v>0</v>
      </c>
      <c r="BE71" s="7">
        <v>0</v>
      </c>
      <c r="BF71" s="7">
        <v>3488</v>
      </c>
      <c r="BG71" s="7">
        <v>3488</v>
      </c>
      <c r="BH71" s="7">
        <v>6802</v>
      </c>
      <c r="BI71" s="7">
        <v>6802</v>
      </c>
      <c r="BJ71" s="7">
        <v>205085</v>
      </c>
      <c r="BK71" s="7">
        <v>215026</v>
      </c>
      <c r="BL71" s="7">
        <v>319809</v>
      </c>
      <c r="BM71" s="7">
        <v>541271</v>
      </c>
      <c r="BN71" s="7">
        <v>2174604</v>
      </c>
      <c r="BO71" s="8">
        <f t="shared" ref="BO71:BO76" si="61">BN71</f>
        <v>2174604</v>
      </c>
      <c r="BP71" s="7">
        <v>0</v>
      </c>
      <c r="BQ71" s="7">
        <v>0</v>
      </c>
      <c r="BR71" s="7">
        <v>0</v>
      </c>
      <c r="BS71" s="7">
        <v>1547</v>
      </c>
      <c r="BT71" s="7">
        <v>1547</v>
      </c>
      <c r="BU71" s="7">
        <v>4001</v>
      </c>
      <c r="BV71" s="7">
        <v>4001</v>
      </c>
      <c r="BW71" s="9"/>
      <c r="BX71" s="9"/>
      <c r="BY71" s="9"/>
      <c r="BZ71" s="9"/>
      <c r="CA71" s="9"/>
      <c r="CB71" s="8">
        <f t="shared" ref="CB71:CB76" si="62">BV71</f>
        <v>4001</v>
      </c>
    </row>
    <row r="72" spans="2:80" ht="28.05" customHeight="1" x14ac:dyDescent="0.3">
      <c r="B72" s="6" t="s">
        <v>47</v>
      </c>
      <c r="C72" s="7">
        <v>0</v>
      </c>
      <c r="D72" s="7">
        <v>0</v>
      </c>
      <c r="E72" s="7">
        <v>0</v>
      </c>
      <c r="F72" s="7">
        <v>690</v>
      </c>
      <c r="G72" s="7">
        <v>690</v>
      </c>
      <c r="H72" s="7">
        <v>890</v>
      </c>
      <c r="I72" s="7">
        <v>890</v>
      </c>
      <c r="J72" s="7">
        <v>890</v>
      </c>
      <c r="K72" s="7">
        <v>26583</v>
      </c>
      <c r="L72" s="7">
        <v>37934</v>
      </c>
      <c r="M72" s="7">
        <v>117361</v>
      </c>
      <c r="N72" s="7">
        <v>703694</v>
      </c>
      <c r="O72" s="8">
        <f t="shared" si="57"/>
        <v>703694</v>
      </c>
      <c r="P72" s="7">
        <v>0</v>
      </c>
      <c r="Q72" s="7">
        <v>0</v>
      </c>
      <c r="R72" s="7">
        <v>397</v>
      </c>
      <c r="S72" s="7">
        <v>397</v>
      </c>
      <c r="T72" s="7">
        <v>892</v>
      </c>
      <c r="U72" s="7">
        <v>20063</v>
      </c>
      <c r="V72" s="7">
        <v>21996</v>
      </c>
      <c r="W72" s="7">
        <v>21996</v>
      </c>
      <c r="X72" s="7">
        <v>75465</v>
      </c>
      <c r="Y72" s="7">
        <v>107933</v>
      </c>
      <c r="Z72" s="7">
        <v>907010</v>
      </c>
      <c r="AA72" s="7">
        <v>1149989</v>
      </c>
      <c r="AB72" s="8">
        <f t="shared" si="58"/>
        <v>1149989</v>
      </c>
      <c r="AC72" s="7">
        <v>0</v>
      </c>
      <c r="AD72" s="7">
        <v>0</v>
      </c>
      <c r="AE72" s="7">
        <v>30519</v>
      </c>
      <c r="AF72" s="7">
        <v>34103</v>
      </c>
      <c r="AG72" s="7">
        <v>58501</v>
      </c>
      <c r="AH72" s="7">
        <v>58501</v>
      </c>
      <c r="AI72" s="7">
        <v>103636</v>
      </c>
      <c r="AJ72" s="7">
        <v>103700</v>
      </c>
      <c r="AK72" s="7">
        <v>192664</v>
      </c>
      <c r="AL72" s="7">
        <v>195641</v>
      </c>
      <c r="AM72" s="7">
        <v>499753</v>
      </c>
      <c r="AN72" s="7">
        <v>628857</v>
      </c>
      <c r="AO72" s="8">
        <f t="shared" si="59"/>
        <v>628857</v>
      </c>
      <c r="AP72" s="7">
        <v>0</v>
      </c>
      <c r="AQ72" s="7">
        <v>0</v>
      </c>
      <c r="AR72" s="7">
        <v>563</v>
      </c>
      <c r="AS72" s="7">
        <v>2527</v>
      </c>
      <c r="AT72" s="7">
        <v>3420</v>
      </c>
      <c r="AU72" s="7">
        <v>355096</v>
      </c>
      <c r="AV72" s="7">
        <v>359380</v>
      </c>
      <c r="AW72" s="7">
        <v>402900</v>
      </c>
      <c r="AX72" s="7">
        <v>466045</v>
      </c>
      <c r="AY72" s="7">
        <v>466045</v>
      </c>
      <c r="AZ72" s="7">
        <v>466045</v>
      </c>
      <c r="BA72" s="7">
        <v>899916</v>
      </c>
      <c r="BB72" s="8">
        <f t="shared" si="60"/>
        <v>899916</v>
      </c>
      <c r="BC72" s="7">
        <v>0</v>
      </c>
      <c r="BD72" s="7">
        <v>0</v>
      </c>
      <c r="BE72" s="7">
        <v>0</v>
      </c>
      <c r="BF72" s="7">
        <v>2009</v>
      </c>
      <c r="BG72" s="7">
        <v>37835</v>
      </c>
      <c r="BH72" s="7">
        <v>73615</v>
      </c>
      <c r="BI72" s="7">
        <v>253012</v>
      </c>
      <c r="BJ72" s="7">
        <v>572413</v>
      </c>
      <c r="BK72" s="7">
        <v>586562</v>
      </c>
      <c r="BL72" s="7">
        <v>603974</v>
      </c>
      <c r="BM72" s="7">
        <v>818043</v>
      </c>
      <c r="BN72" s="7">
        <v>963962</v>
      </c>
      <c r="BO72" s="8">
        <f t="shared" si="61"/>
        <v>963962</v>
      </c>
      <c r="BP72" s="7">
        <v>0</v>
      </c>
      <c r="BQ72" s="7">
        <v>0</v>
      </c>
      <c r="BR72" s="7">
        <v>0</v>
      </c>
      <c r="BS72" s="7">
        <v>1508</v>
      </c>
      <c r="BT72" s="7">
        <v>129364</v>
      </c>
      <c r="BU72" s="7">
        <v>434033</v>
      </c>
      <c r="BV72" s="7">
        <v>452929</v>
      </c>
      <c r="BW72" s="9"/>
      <c r="BX72" s="9"/>
      <c r="BY72" s="9"/>
      <c r="BZ72" s="9"/>
      <c r="CA72" s="9"/>
      <c r="CB72" s="8">
        <f t="shared" si="62"/>
        <v>452929</v>
      </c>
    </row>
    <row r="73" spans="2:80" ht="28.05" customHeight="1" x14ac:dyDescent="0.3">
      <c r="B73" s="6" t="s">
        <v>48</v>
      </c>
      <c r="C73" s="7">
        <v>0</v>
      </c>
      <c r="D73" s="7">
        <v>0</v>
      </c>
      <c r="E73" s="7">
        <v>8167</v>
      </c>
      <c r="F73" s="7">
        <v>8833</v>
      </c>
      <c r="G73" s="7">
        <v>8833</v>
      </c>
      <c r="H73" s="7">
        <v>8833</v>
      </c>
      <c r="I73" s="7">
        <v>8833</v>
      </c>
      <c r="J73" s="7">
        <v>12555</v>
      </c>
      <c r="K73" s="7">
        <v>61123</v>
      </c>
      <c r="L73" s="7">
        <v>70203</v>
      </c>
      <c r="M73" s="7">
        <v>155639</v>
      </c>
      <c r="N73" s="7">
        <v>160231</v>
      </c>
      <c r="O73" s="8">
        <f t="shared" si="57"/>
        <v>160231</v>
      </c>
      <c r="P73" s="7">
        <v>0</v>
      </c>
      <c r="Q73" s="7">
        <v>0</v>
      </c>
      <c r="R73" s="7">
        <v>0</v>
      </c>
      <c r="S73" s="7">
        <v>0</v>
      </c>
      <c r="T73" s="7">
        <v>0</v>
      </c>
      <c r="U73" s="7">
        <v>10407</v>
      </c>
      <c r="V73" s="7">
        <v>16277</v>
      </c>
      <c r="W73" s="7">
        <v>16277</v>
      </c>
      <c r="X73" s="7">
        <v>101440</v>
      </c>
      <c r="Y73" s="7">
        <v>232681</v>
      </c>
      <c r="Z73" s="7">
        <v>571170</v>
      </c>
      <c r="AA73" s="7">
        <v>709579</v>
      </c>
      <c r="AB73" s="8">
        <f t="shared" si="58"/>
        <v>709579</v>
      </c>
      <c r="AC73" s="7">
        <v>20554</v>
      </c>
      <c r="AD73" s="7">
        <v>20554</v>
      </c>
      <c r="AE73" s="7">
        <v>20857</v>
      </c>
      <c r="AF73" s="7">
        <v>41459</v>
      </c>
      <c r="AG73" s="7">
        <v>41551</v>
      </c>
      <c r="AH73" s="7">
        <v>41551</v>
      </c>
      <c r="AI73" s="7">
        <v>163019</v>
      </c>
      <c r="AJ73" s="7">
        <v>163019</v>
      </c>
      <c r="AK73" s="7">
        <v>209557</v>
      </c>
      <c r="AL73" s="7">
        <v>209557</v>
      </c>
      <c r="AM73" s="7">
        <v>236874</v>
      </c>
      <c r="AN73" s="7">
        <v>366748</v>
      </c>
      <c r="AO73" s="8">
        <f t="shared" si="59"/>
        <v>366748</v>
      </c>
      <c r="AP73" s="7">
        <v>10076</v>
      </c>
      <c r="AQ73" s="7">
        <v>10269</v>
      </c>
      <c r="AR73" s="7">
        <v>10269</v>
      </c>
      <c r="AS73" s="7">
        <v>10269</v>
      </c>
      <c r="AT73" s="7">
        <v>13954</v>
      </c>
      <c r="AU73" s="7">
        <v>337449</v>
      </c>
      <c r="AV73" s="7">
        <v>337449</v>
      </c>
      <c r="AW73" s="7">
        <v>444295</v>
      </c>
      <c r="AX73" s="7">
        <v>461458</v>
      </c>
      <c r="AY73" s="7">
        <v>470252</v>
      </c>
      <c r="AZ73" s="7">
        <v>470252</v>
      </c>
      <c r="BA73" s="7">
        <v>612897</v>
      </c>
      <c r="BB73" s="8">
        <f t="shared" si="60"/>
        <v>612897</v>
      </c>
      <c r="BC73" s="7">
        <v>0</v>
      </c>
      <c r="BD73" s="7">
        <v>160</v>
      </c>
      <c r="BE73" s="7">
        <v>160</v>
      </c>
      <c r="BF73" s="7">
        <v>160</v>
      </c>
      <c r="BG73" s="7">
        <v>4515</v>
      </c>
      <c r="BH73" s="7">
        <v>13374</v>
      </c>
      <c r="BI73" s="7">
        <v>133195</v>
      </c>
      <c r="BJ73" s="7">
        <v>499807</v>
      </c>
      <c r="BK73" s="7">
        <v>541550</v>
      </c>
      <c r="BL73" s="7">
        <v>568299</v>
      </c>
      <c r="BM73" s="7">
        <v>873723</v>
      </c>
      <c r="BN73" s="7">
        <v>1203592</v>
      </c>
      <c r="BO73" s="8">
        <f t="shared" si="61"/>
        <v>1203592</v>
      </c>
      <c r="BP73" s="7">
        <v>0</v>
      </c>
      <c r="BQ73" s="7">
        <v>0</v>
      </c>
      <c r="BR73" s="7">
        <v>0</v>
      </c>
      <c r="BS73" s="7">
        <v>13239</v>
      </c>
      <c r="BT73" s="7">
        <v>126731</v>
      </c>
      <c r="BU73" s="7">
        <v>371354</v>
      </c>
      <c r="BV73" s="7">
        <v>409008</v>
      </c>
      <c r="BW73" s="9"/>
      <c r="BX73" s="9"/>
      <c r="BY73" s="9"/>
      <c r="BZ73" s="9"/>
      <c r="CA73" s="9"/>
      <c r="CB73" s="8">
        <f t="shared" si="62"/>
        <v>409008</v>
      </c>
    </row>
    <row r="74" spans="2:80" ht="28.05" customHeight="1" x14ac:dyDescent="0.3">
      <c r="B74" s="6" t="s">
        <v>49</v>
      </c>
      <c r="C74" s="7">
        <v>0</v>
      </c>
      <c r="D74" s="7">
        <v>20</v>
      </c>
      <c r="E74" s="7">
        <v>20</v>
      </c>
      <c r="F74" s="7">
        <v>40</v>
      </c>
      <c r="G74" s="7">
        <v>40</v>
      </c>
      <c r="H74" s="7">
        <v>263823</v>
      </c>
      <c r="I74" s="7">
        <v>439678</v>
      </c>
      <c r="J74" s="7">
        <v>439678</v>
      </c>
      <c r="K74" s="7">
        <v>444855</v>
      </c>
      <c r="L74" s="7">
        <v>444855</v>
      </c>
      <c r="M74" s="7">
        <v>458920</v>
      </c>
      <c r="N74" s="7">
        <v>485917</v>
      </c>
      <c r="O74" s="8">
        <f t="shared" si="57"/>
        <v>485917</v>
      </c>
      <c r="P74" s="7">
        <v>0</v>
      </c>
      <c r="Q74" s="7">
        <v>0</v>
      </c>
      <c r="R74" s="7">
        <v>0</v>
      </c>
      <c r="S74" s="7">
        <v>22</v>
      </c>
      <c r="T74" s="7">
        <v>22</v>
      </c>
      <c r="U74" s="7">
        <v>22</v>
      </c>
      <c r="V74" s="7">
        <v>22</v>
      </c>
      <c r="W74" s="7">
        <v>22</v>
      </c>
      <c r="X74" s="7">
        <v>21191</v>
      </c>
      <c r="Y74" s="7">
        <v>82685</v>
      </c>
      <c r="Z74" s="7">
        <v>447234</v>
      </c>
      <c r="AA74" s="7">
        <v>865046</v>
      </c>
      <c r="AB74" s="8">
        <f t="shared" si="58"/>
        <v>865046</v>
      </c>
      <c r="AC74" s="7">
        <v>0</v>
      </c>
      <c r="AD74" s="7">
        <v>6359</v>
      </c>
      <c r="AE74" s="7">
        <v>7689</v>
      </c>
      <c r="AF74" s="7">
        <v>49168</v>
      </c>
      <c r="AG74" s="7">
        <v>90437</v>
      </c>
      <c r="AH74" s="7">
        <v>151090</v>
      </c>
      <c r="AI74" s="7">
        <v>151090</v>
      </c>
      <c r="AJ74" s="7">
        <v>152637</v>
      </c>
      <c r="AK74" s="7">
        <v>367133</v>
      </c>
      <c r="AL74" s="7">
        <v>367430</v>
      </c>
      <c r="AM74" s="7">
        <v>409162</v>
      </c>
      <c r="AN74" s="7">
        <v>620613</v>
      </c>
      <c r="AO74" s="8">
        <f t="shared" si="59"/>
        <v>620613</v>
      </c>
      <c r="AP74" s="7">
        <v>0</v>
      </c>
      <c r="AQ74" s="7">
        <v>0</v>
      </c>
      <c r="AR74" s="7">
        <v>0</v>
      </c>
      <c r="AS74" s="7">
        <v>1891</v>
      </c>
      <c r="AT74" s="7">
        <v>25269</v>
      </c>
      <c r="AU74" s="7">
        <v>68307</v>
      </c>
      <c r="AV74" s="7">
        <v>92369</v>
      </c>
      <c r="AW74" s="7">
        <v>255657</v>
      </c>
      <c r="AX74" s="7">
        <v>297429</v>
      </c>
      <c r="AY74" s="7">
        <v>650218</v>
      </c>
      <c r="AZ74" s="7">
        <v>722119</v>
      </c>
      <c r="BA74" s="7">
        <v>1508486</v>
      </c>
      <c r="BB74" s="8">
        <f t="shared" si="60"/>
        <v>1508486</v>
      </c>
      <c r="BC74" s="7">
        <v>0</v>
      </c>
      <c r="BD74" s="7">
        <v>0</v>
      </c>
      <c r="BE74" s="7">
        <v>0</v>
      </c>
      <c r="BF74" s="7">
        <v>5944</v>
      </c>
      <c r="BG74" s="7">
        <v>41309</v>
      </c>
      <c r="BH74" s="7">
        <v>91749</v>
      </c>
      <c r="BI74" s="7">
        <v>93532</v>
      </c>
      <c r="BJ74" s="7">
        <v>93532</v>
      </c>
      <c r="BK74" s="7">
        <v>96960</v>
      </c>
      <c r="BL74" s="7">
        <v>112867</v>
      </c>
      <c r="BM74" s="7">
        <v>143043</v>
      </c>
      <c r="BN74" s="7">
        <v>248096</v>
      </c>
      <c r="BO74" s="8">
        <f t="shared" si="61"/>
        <v>248096</v>
      </c>
      <c r="BP74" s="7">
        <v>70510</v>
      </c>
      <c r="BQ74" s="7">
        <v>70510</v>
      </c>
      <c r="BR74" s="7">
        <v>77071</v>
      </c>
      <c r="BS74" s="7">
        <v>91088</v>
      </c>
      <c r="BT74" s="7">
        <v>155966</v>
      </c>
      <c r="BU74" s="7">
        <v>155966</v>
      </c>
      <c r="BV74" s="7">
        <v>161164</v>
      </c>
      <c r="BW74" s="9"/>
      <c r="BX74" s="9"/>
      <c r="BY74" s="9"/>
      <c r="BZ74" s="9"/>
      <c r="CA74" s="9"/>
      <c r="CB74" s="8">
        <f t="shared" si="62"/>
        <v>161164</v>
      </c>
    </row>
    <row r="75" spans="2:80" ht="28.05" customHeight="1" x14ac:dyDescent="0.3">
      <c r="B75" s="6" t="s">
        <v>50</v>
      </c>
      <c r="C75" s="7">
        <v>0</v>
      </c>
      <c r="D75" s="7">
        <v>0</v>
      </c>
      <c r="E75" s="7">
        <v>0</v>
      </c>
      <c r="F75" s="7">
        <v>0</v>
      </c>
      <c r="G75" s="7">
        <v>375</v>
      </c>
      <c r="H75" s="7">
        <v>375</v>
      </c>
      <c r="I75" s="7">
        <v>375</v>
      </c>
      <c r="J75" s="7">
        <v>375</v>
      </c>
      <c r="K75" s="7">
        <v>16453</v>
      </c>
      <c r="L75" s="7">
        <v>16738</v>
      </c>
      <c r="M75" s="7">
        <v>59581</v>
      </c>
      <c r="N75" s="7">
        <v>101089</v>
      </c>
      <c r="O75" s="8">
        <f t="shared" si="57"/>
        <v>101089</v>
      </c>
      <c r="P75" s="7">
        <v>0</v>
      </c>
      <c r="Q75" s="7">
        <v>0</v>
      </c>
      <c r="R75" s="7">
        <v>0</v>
      </c>
      <c r="S75" s="7">
        <v>43</v>
      </c>
      <c r="T75" s="7">
        <v>43</v>
      </c>
      <c r="U75" s="7">
        <v>638</v>
      </c>
      <c r="V75" s="7">
        <v>3960</v>
      </c>
      <c r="W75" s="7">
        <v>60216</v>
      </c>
      <c r="X75" s="7">
        <v>61185</v>
      </c>
      <c r="Y75" s="7">
        <v>67106</v>
      </c>
      <c r="Z75" s="7">
        <v>95932</v>
      </c>
      <c r="AA75" s="7">
        <v>160797</v>
      </c>
      <c r="AB75" s="8">
        <f t="shared" si="58"/>
        <v>160797</v>
      </c>
      <c r="AC75" s="7">
        <v>0</v>
      </c>
      <c r="AD75" s="7">
        <v>0</v>
      </c>
      <c r="AE75" s="7">
        <v>0</v>
      </c>
      <c r="AF75" s="7">
        <v>0</v>
      </c>
      <c r="AG75" s="7">
        <v>3085</v>
      </c>
      <c r="AH75" s="7">
        <v>82381</v>
      </c>
      <c r="AI75" s="7">
        <v>125991</v>
      </c>
      <c r="AJ75" s="7">
        <v>140950</v>
      </c>
      <c r="AK75" s="7">
        <v>158342</v>
      </c>
      <c r="AL75" s="7">
        <v>163795</v>
      </c>
      <c r="AM75" s="7">
        <v>191564</v>
      </c>
      <c r="AN75" s="7">
        <v>237804</v>
      </c>
      <c r="AO75" s="8">
        <f t="shared" si="59"/>
        <v>237804</v>
      </c>
      <c r="AP75" s="7">
        <v>0</v>
      </c>
      <c r="AQ75" s="7">
        <v>0</v>
      </c>
      <c r="AR75" s="7">
        <v>0</v>
      </c>
      <c r="AS75" s="7">
        <v>2262</v>
      </c>
      <c r="AT75" s="7">
        <v>74380</v>
      </c>
      <c r="AU75" s="7">
        <v>161068</v>
      </c>
      <c r="AV75" s="7">
        <v>226500</v>
      </c>
      <c r="AW75" s="7">
        <v>235972</v>
      </c>
      <c r="AX75" s="7">
        <v>1485698</v>
      </c>
      <c r="AY75" s="7">
        <v>1613690</v>
      </c>
      <c r="AZ75" s="7">
        <v>1931498</v>
      </c>
      <c r="BA75" s="7">
        <v>1997225</v>
      </c>
      <c r="BB75" s="8">
        <f t="shared" si="60"/>
        <v>1997225</v>
      </c>
      <c r="BC75" s="7">
        <v>0</v>
      </c>
      <c r="BD75" s="7">
        <v>97469</v>
      </c>
      <c r="BE75" s="7">
        <v>97751</v>
      </c>
      <c r="BF75" s="7">
        <v>98001</v>
      </c>
      <c r="BG75" s="7">
        <v>170182</v>
      </c>
      <c r="BH75" s="7">
        <v>170245</v>
      </c>
      <c r="BI75" s="7">
        <v>421065</v>
      </c>
      <c r="BJ75" s="7">
        <v>428624</v>
      </c>
      <c r="BK75" s="7">
        <v>444757</v>
      </c>
      <c r="BL75" s="7">
        <v>610730</v>
      </c>
      <c r="BM75" s="7">
        <v>614072</v>
      </c>
      <c r="BN75" s="7">
        <v>809633</v>
      </c>
      <c r="BO75" s="8">
        <f t="shared" si="61"/>
        <v>809633</v>
      </c>
      <c r="BP75" s="7">
        <v>0</v>
      </c>
      <c r="BQ75" s="7">
        <v>0</v>
      </c>
      <c r="BR75" s="7">
        <v>0</v>
      </c>
      <c r="BS75" s="7">
        <v>0</v>
      </c>
      <c r="BT75" s="7">
        <v>0</v>
      </c>
      <c r="BU75" s="7">
        <v>64950</v>
      </c>
      <c r="BV75" s="7">
        <v>127454</v>
      </c>
      <c r="BW75" s="9"/>
      <c r="BX75" s="9"/>
      <c r="BY75" s="9"/>
      <c r="BZ75" s="9"/>
      <c r="CA75" s="9"/>
      <c r="CB75" s="8">
        <f t="shared" si="62"/>
        <v>127454</v>
      </c>
    </row>
    <row r="76" spans="2:80" ht="28.05" customHeight="1" x14ac:dyDescent="0.3">
      <c r="B76" s="6" t="s">
        <v>51</v>
      </c>
      <c r="C76" s="7">
        <v>0</v>
      </c>
      <c r="D76" s="7">
        <v>0</v>
      </c>
      <c r="E76" s="7">
        <v>0</v>
      </c>
      <c r="F76" s="7">
        <v>0</v>
      </c>
      <c r="G76" s="7">
        <v>0</v>
      </c>
      <c r="H76" s="7">
        <v>0</v>
      </c>
      <c r="I76" s="7">
        <v>0</v>
      </c>
      <c r="J76" s="7">
        <v>0</v>
      </c>
      <c r="K76" s="7">
        <v>0</v>
      </c>
      <c r="L76" s="7">
        <v>0</v>
      </c>
      <c r="M76" s="7">
        <v>38499</v>
      </c>
      <c r="N76" s="7">
        <v>107372</v>
      </c>
      <c r="O76" s="8">
        <f t="shared" si="57"/>
        <v>107372</v>
      </c>
      <c r="P76" s="7">
        <v>0</v>
      </c>
      <c r="Q76" s="7">
        <v>0</v>
      </c>
      <c r="R76" s="7">
        <v>0</v>
      </c>
      <c r="S76" s="7">
        <v>0</v>
      </c>
      <c r="T76" s="7">
        <v>0</v>
      </c>
      <c r="U76" s="7">
        <v>0</v>
      </c>
      <c r="V76" s="7">
        <v>1222</v>
      </c>
      <c r="W76" s="7">
        <v>9602</v>
      </c>
      <c r="X76" s="7">
        <v>92334</v>
      </c>
      <c r="Y76" s="7">
        <v>96189</v>
      </c>
      <c r="Z76" s="7">
        <v>319595</v>
      </c>
      <c r="AA76" s="7">
        <v>395574</v>
      </c>
      <c r="AB76" s="8">
        <f t="shared" si="58"/>
        <v>395574</v>
      </c>
      <c r="AC76" s="7">
        <v>0</v>
      </c>
      <c r="AD76" s="7">
        <v>333</v>
      </c>
      <c r="AE76" s="7">
        <v>581</v>
      </c>
      <c r="AF76" s="7">
        <v>17754</v>
      </c>
      <c r="AG76" s="7">
        <v>70246</v>
      </c>
      <c r="AH76" s="7">
        <v>92472</v>
      </c>
      <c r="AI76" s="7">
        <v>321438</v>
      </c>
      <c r="AJ76" s="7">
        <v>325356</v>
      </c>
      <c r="AK76" s="7">
        <v>420771</v>
      </c>
      <c r="AL76" s="7">
        <v>450435</v>
      </c>
      <c r="AM76" s="7">
        <v>501604</v>
      </c>
      <c r="AN76" s="7">
        <v>554997</v>
      </c>
      <c r="AO76" s="8">
        <f t="shared" si="59"/>
        <v>554997</v>
      </c>
      <c r="AP76" s="7">
        <v>0</v>
      </c>
      <c r="AQ76" s="7">
        <v>47980</v>
      </c>
      <c r="AR76" s="7">
        <v>92337</v>
      </c>
      <c r="AS76" s="7">
        <v>95895</v>
      </c>
      <c r="AT76" s="7">
        <v>268337</v>
      </c>
      <c r="AU76" s="7">
        <v>389981</v>
      </c>
      <c r="AV76" s="7">
        <v>421650</v>
      </c>
      <c r="AW76" s="7">
        <v>428305</v>
      </c>
      <c r="AX76" s="7">
        <v>503200</v>
      </c>
      <c r="AY76" s="7">
        <v>506685</v>
      </c>
      <c r="AZ76" s="7">
        <v>563895</v>
      </c>
      <c r="BA76" s="7">
        <v>631827</v>
      </c>
      <c r="BB76" s="8">
        <f t="shared" si="60"/>
        <v>631827</v>
      </c>
      <c r="BC76" s="7">
        <v>0</v>
      </c>
      <c r="BD76" s="7">
        <v>33966</v>
      </c>
      <c r="BE76" s="7">
        <v>39677</v>
      </c>
      <c r="BF76" s="7">
        <v>68547</v>
      </c>
      <c r="BG76" s="7">
        <v>184933</v>
      </c>
      <c r="BH76" s="7">
        <v>316527</v>
      </c>
      <c r="BI76" s="7">
        <v>324773</v>
      </c>
      <c r="BJ76" s="7">
        <v>324773</v>
      </c>
      <c r="BK76" s="7">
        <v>329257</v>
      </c>
      <c r="BL76" s="7">
        <v>333451</v>
      </c>
      <c r="BM76" s="7">
        <v>436896</v>
      </c>
      <c r="BN76" s="7">
        <v>504566</v>
      </c>
      <c r="BO76" s="8">
        <f t="shared" si="61"/>
        <v>504566</v>
      </c>
      <c r="BP76" s="7">
        <v>0</v>
      </c>
      <c r="BQ76" s="7">
        <v>0</v>
      </c>
      <c r="BR76" s="7">
        <v>59187</v>
      </c>
      <c r="BS76" s="7">
        <v>68554</v>
      </c>
      <c r="BT76" s="7">
        <v>87338</v>
      </c>
      <c r="BU76" s="7">
        <v>87338</v>
      </c>
      <c r="BV76" s="7">
        <v>87338</v>
      </c>
      <c r="BW76" s="9"/>
      <c r="BX76" s="9"/>
      <c r="BY76" s="9"/>
      <c r="BZ76" s="9"/>
      <c r="CA76" s="9"/>
      <c r="CB76" s="8">
        <f t="shared" si="62"/>
        <v>87338</v>
      </c>
    </row>
    <row r="77" spans="2:80" ht="22.05" customHeight="1" x14ac:dyDescent="0.3">
      <c r="B77" s="3" t="s">
        <v>87</v>
      </c>
      <c r="C77" s="10">
        <f t="shared" ref="C77:AH77" si="63">SUM(C71:C76)</f>
        <v>0</v>
      </c>
      <c r="D77" s="10">
        <f t="shared" si="63"/>
        <v>425958</v>
      </c>
      <c r="E77" s="10">
        <f t="shared" si="63"/>
        <v>1470948</v>
      </c>
      <c r="F77" s="10">
        <f t="shared" si="63"/>
        <v>1475537</v>
      </c>
      <c r="G77" s="10">
        <f t="shared" si="63"/>
        <v>1491037</v>
      </c>
      <c r="H77" s="10">
        <f t="shared" si="63"/>
        <v>1786355</v>
      </c>
      <c r="I77" s="10">
        <f t="shared" si="63"/>
        <v>2633620</v>
      </c>
      <c r="J77" s="10">
        <f t="shared" si="63"/>
        <v>2801277</v>
      </c>
      <c r="K77" s="10">
        <f t="shared" si="63"/>
        <v>2935524</v>
      </c>
      <c r="L77" s="10">
        <f t="shared" si="63"/>
        <v>3099676</v>
      </c>
      <c r="M77" s="10">
        <f t="shared" si="63"/>
        <v>3924655</v>
      </c>
      <c r="N77" s="10">
        <f t="shared" si="63"/>
        <v>6357835</v>
      </c>
      <c r="O77" s="10">
        <f t="shared" si="63"/>
        <v>6357835</v>
      </c>
      <c r="P77" s="10">
        <f t="shared" si="63"/>
        <v>0</v>
      </c>
      <c r="Q77" s="10">
        <f t="shared" si="63"/>
        <v>0</v>
      </c>
      <c r="R77" s="10">
        <f t="shared" si="63"/>
        <v>397</v>
      </c>
      <c r="S77" s="10">
        <f t="shared" si="63"/>
        <v>462</v>
      </c>
      <c r="T77" s="10">
        <f t="shared" si="63"/>
        <v>110919</v>
      </c>
      <c r="U77" s="10">
        <f t="shared" si="63"/>
        <v>142091</v>
      </c>
      <c r="V77" s="10">
        <f t="shared" si="63"/>
        <v>155178</v>
      </c>
      <c r="W77" s="10">
        <f t="shared" si="63"/>
        <v>225311</v>
      </c>
      <c r="X77" s="10">
        <f t="shared" si="63"/>
        <v>556965</v>
      </c>
      <c r="Y77" s="10">
        <f t="shared" si="63"/>
        <v>804825</v>
      </c>
      <c r="Z77" s="10">
        <f t="shared" si="63"/>
        <v>2647600</v>
      </c>
      <c r="AA77" s="10">
        <f t="shared" si="63"/>
        <v>11702380</v>
      </c>
      <c r="AB77" s="10">
        <f t="shared" si="63"/>
        <v>11702380</v>
      </c>
      <c r="AC77" s="10">
        <f t="shared" si="63"/>
        <v>20554</v>
      </c>
      <c r="AD77" s="10">
        <f t="shared" si="63"/>
        <v>27246</v>
      </c>
      <c r="AE77" s="10">
        <f t="shared" si="63"/>
        <v>62594</v>
      </c>
      <c r="AF77" s="10">
        <f t="shared" si="63"/>
        <v>146546</v>
      </c>
      <c r="AG77" s="10">
        <f t="shared" si="63"/>
        <v>453951</v>
      </c>
      <c r="AH77" s="10">
        <f t="shared" si="63"/>
        <v>648049</v>
      </c>
      <c r="AI77" s="10">
        <f t="shared" ref="AI77:BN77" si="64">SUM(AI71:AI76)</f>
        <v>1110604</v>
      </c>
      <c r="AJ77" s="10">
        <f t="shared" si="64"/>
        <v>1161635</v>
      </c>
      <c r="AK77" s="10">
        <f t="shared" si="64"/>
        <v>1805132</v>
      </c>
      <c r="AL77" s="10">
        <f t="shared" si="64"/>
        <v>2107787</v>
      </c>
      <c r="AM77" s="10">
        <f t="shared" si="64"/>
        <v>2802625</v>
      </c>
      <c r="AN77" s="10">
        <f t="shared" si="64"/>
        <v>9544355</v>
      </c>
      <c r="AO77" s="10">
        <f t="shared" si="64"/>
        <v>9544355</v>
      </c>
      <c r="AP77" s="10">
        <f t="shared" si="64"/>
        <v>10076</v>
      </c>
      <c r="AQ77" s="10">
        <f t="shared" si="64"/>
        <v>58249</v>
      </c>
      <c r="AR77" s="10">
        <f t="shared" si="64"/>
        <v>103169</v>
      </c>
      <c r="AS77" s="10">
        <f t="shared" si="64"/>
        <v>112844</v>
      </c>
      <c r="AT77" s="10">
        <f t="shared" si="64"/>
        <v>387074</v>
      </c>
      <c r="AU77" s="10">
        <f t="shared" si="64"/>
        <v>1315632</v>
      </c>
      <c r="AV77" s="10">
        <f t="shared" si="64"/>
        <v>1441079</v>
      </c>
      <c r="AW77" s="10">
        <f t="shared" si="64"/>
        <v>1820572</v>
      </c>
      <c r="AX77" s="10">
        <f t="shared" si="64"/>
        <v>3400974</v>
      </c>
      <c r="AY77" s="10">
        <f t="shared" si="64"/>
        <v>3894138</v>
      </c>
      <c r="AZ77" s="10">
        <f t="shared" si="64"/>
        <v>4374846</v>
      </c>
      <c r="BA77" s="10">
        <f t="shared" si="64"/>
        <v>6773876</v>
      </c>
      <c r="BB77" s="10">
        <f t="shared" si="64"/>
        <v>6773876</v>
      </c>
      <c r="BC77" s="10">
        <f t="shared" si="64"/>
        <v>0</v>
      </c>
      <c r="BD77" s="10">
        <f t="shared" si="64"/>
        <v>131595</v>
      </c>
      <c r="BE77" s="10">
        <f t="shared" si="64"/>
        <v>137588</v>
      </c>
      <c r="BF77" s="10">
        <f t="shared" si="64"/>
        <v>178149</v>
      </c>
      <c r="BG77" s="10">
        <f t="shared" si="64"/>
        <v>442262</v>
      </c>
      <c r="BH77" s="10">
        <f t="shared" si="64"/>
        <v>672312</v>
      </c>
      <c r="BI77" s="10">
        <f t="shared" si="64"/>
        <v>1232379</v>
      </c>
      <c r="BJ77" s="10">
        <f t="shared" si="64"/>
        <v>2124234</v>
      </c>
      <c r="BK77" s="10">
        <f t="shared" si="64"/>
        <v>2214112</v>
      </c>
      <c r="BL77" s="10">
        <f t="shared" si="64"/>
        <v>2549130</v>
      </c>
      <c r="BM77" s="10">
        <f t="shared" si="64"/>
        <v>3427048</v>
      </c>
      <c r="BN77" s="10">
        <f t="shared" si="64"/>
        <v>5904453</v>
      </c>
      <c r="BO77" s="10">
        <f t="shared" ref="BO77:CB77" si="65">SUM(BO71:BO76)</f>
        <v>5904453</v>
      </c>
      <c r="BP77" s="10">
        <f t="shared" si="65"/>
        <v>70510</v>
      </c>
      <c r="BQ77" s="10">
        <f t="shared" si="65"/>
        <v>70510</v>
      </c>
      <c r="BR77" s="10">
        <f t="shared" si="65"/>
        <v>136258</v>
      </c>
      <c r="BS77" s="10">
        <f t="shared" si="65"/>
        <v>175936</v>
      </c>
      <c r="BT77" s="10">
        <f t="shared" si="65"/>
        <v>500946</v>
      </c>
      <c r="BU77" s="10">
        <f t="shared" si="65"/>
        <v>1117642</v>
      </c>
      <c r="BV77" s="10">
        <f t="shared" si="65"/>
        <v>1241894</v>
      </c>
      <c r="BW77" s="10">
        <f t="shared" si="65"/>
        <v>0</v>
      </c>
      <c r="BX77" s="10">
        <f t="shared" si="65"/>
        <v>0</v>
      </c>
      <c r="BY77" s="10">
        <f t="shared" si="65"/>
        <v>0</v>
      </c>
      <c r="BZ77" s="10">
        <f t="shared" si="65"/>
        <v>0</v>
      </c>
      <c r="CA77" s="10">
        <f t="shared" si="65"/>
        <v>0</v>
      </c>
      <c r="CB77" s="10">
        <f t="shared" si="65"/>
        <v>1241894</v>
      </c>
    </row>
    <row r="78" spans="2:80" x14ac:dyDescent="0.3">
      <c r="B78" s="58" t="s">
        <v>92</v>
      </c>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row>
    <row r="81" spans="2:80" ht="25.95" customHeight="1" x14ac:dyDescent="0.3">
      <c r="B81" s="63" t="s">
        <v>97</v>
      </c>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row>
    <row r="83" spans="2:80" ht="16.05" customHeight="1" x14ac:dyDescent="0.3">
      <c r="B83" s="62" t="s">
        <v>98</v>
      </c>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row>
    <row r="84" spans="2:80" ht="22.05" customHeight="1" x14ac:dyDescent="0.3">
      <c r="B84" s="2"/>
      <c r="C84" s="60">
        <v>2021</v>
      </c>
      <c r="D84" s="61"/>
      <c r="E84" s="61"/>
      <c r="F84" s="61"/>
      <c r="G84" s="61"/>
      <c r="H84" s="61"/>
      <c r="I84" s="61"/>
      <c r="J84" s="61"/>
      <c r="K84" s="61"/>
      <c r="L84" s="61"/>
      <c r="M84" s="61"/>
      <c r="N84" s="61"/>
      <c r="O84" s="61"/>
      <c r="P84" s="60">
        <v>2022</v>
      </c>
      <c r="Q84" s="61"/>
      <c r="R84" s="61"/>
      <c r="S84" s="61"/>
      <c r="T84" s="61"/>
      <c r="U84" s="61"/>
      <c r="V84" s="61"/>
      <c r="W84" s="61"/>
      <c r="X84" s="61"/>
      <c r="Y84" s="61"/>
      <c r="Z84" s="61"/>
      <c r="AA84" s="61"/>
      <c r="AB84" s="61"/>
      <c r="AC84" s="60">
        <v>2023</v>
      </c>
      <c r="AD84" s="61"/>
      <c r="AE84" s="61"/>
      <c r="AF84" s="61"/>
      <c r="AG84" s="61"/>
      <c r="AH84" s="61"/>
      <c r="AI84" s="61"/>
      <c r="AJ84" s="61"/>
      <c r="AK84" s="61"/>
      <c r="AL84" s="61"/>
      <c r="AM84" s="61"/>
      <c r="AN84" s="61"/>
      <c r="AO84" s="61"/>
      <c r="AP84" s="60">
        <v>2024</v>
      </c>
      <c r="AQ84" s="61"/>
      <c r="AR84" s="61"/>
      <c r="AS84" s="61"/>
      <c r="AT84" s="61"/>
      <c r="AU84" s="61"/>
      <c r="AV84" s="61"/>
      <c r="AW84" s="61"/>
      <c r="AX84" s="61"/>
      <c r="AY84" s="61"/>
      <c r="AZ84" s="61"/>
      <c r="BA84" s="61"/>
      <c r="BB84" s="61"/>
      <c r="BC84" s="60">
        <v>2025</v>
      </c>
      <c r="BD84" s="61"/>
      <c r="BE84" s="61"/>
      <c r="BF84" s="61"/>
      <c r="BG84" s="61"/>
      <c r="BH84" s="61"/>
      <c r="BI84" s="61"/>
      <c r="BJ84" s="61"/>
      <c r="BK84" s="61"/>
      <c r="BL84" s="61"/>
      <c r="BM84" s="61"/>
      <c r="BN84" s="61"/>
      <c r="BO84" s="61"/>
      <c r="BP84" s="60">
        <v>2026</v>
      </c>
      <c r="BQ84" s="61"/>
      <c r="BR84" s="61"/>
      <c r="BS84" s="61"/>
      <c r="BT84" s="61"/>
      <c r="BU84" s="61"/>
      <c r="BV84" s="61"/>
      <c r="BW84" s="61"/>
      <c r="BX84" s="61"/>
      <c r="BY84" s="61"/>
      <c r="BZ84" s="61"/>
      <c r="CA84" s="61"/>
      <c r="CB84" s="61"/>
    </row>
    <row r="85" spans="2:80" ht="28.05" customHeight="1" x14ac:dyDescent="0.3">
      <c r="B85" s="3" t="s">
        <v>80</v>
      </c>
      <c r="C85" s="4" t="s">
        <v>55</v>
      </c>
      <c r="D85" s="4" t="s">
        <v>56</v>
      </c>
      <c r="E85" s="4" t="s">
        <v>57</v>
      </c>
      <c r="F85" s="4" t="s">
        <v>58</v>
      </c>
      <c r="G85" s="4" t="s">
        <v>59</v>
      </c>
      <c r="H85" s="4" t="s">
        <v>60</v>
      </c>
      <c r="I85" s="4" t="s">
        <v>61</v>
      </c>
      <c r="J85" s="4" t="s">
        <v>62</v>
      </c>
      <c r="K85" s="4" t="s">
        <v>63</v>
      </c>
      <c r="L85" s="4" t="s">
        <v>64</v>
      </c>
      <c r="M85" s="4" t="s">
        <v>65</v>
      </c>
      <c r="N85" s="4" t="s">
        <v>66</v>
      </c>
      <c r="O85" s="5" t="s">
        <v>81</v>
      </c>
      <c r="P85" s="4" t="s">
        <v>55</v>
      </c>
      <c r="Q85" s="4" t="s">
        <v>56</v>
      </c>
      <c r="R85" s="4" t="s">
        <v>57</v>
      </c>
      <c r="S85" s="4" t="s">
        <v>58</v>
      </c>
      <c r="T85" s="4" t="s">
        <v>59</v>
      </c>
      <c r="U85" s="4" t="s">
        <v>60</v>
      </c>
      <c r="V85" s="4" t="s">
        <v>61</v>
      </c>
      <c r="W85" s="4" t="s">
        <v>62</v>
      </c>
      <c r="X85" s="4" t="s">
        <v>63</v>
      </c>
      <c r="Y85" s="4" t="s">
        <v>64</v>
      </c>
      <c r="Z85" s="4" t="s">
        <v>65</v>
      </c>
      <c r="AA85" s="4" t="s">
        <v>66</v>
      </c>
      <c r="AB85" s="5" t="s">
        <v>82</v>
      </c>
      <c r="AC85" s="4" t="s">
        <v>55</v>
      </c>
      <c r="AD85" s="4" t="s">
        <v>56</v>
      </c>
      <c r="AE85" s="4" t="s">
        <v>57</v>
      </c>
      <c r="AF85" s="4" t="s">
        <v>58</v>
      </c>
      <c r="AG85" s="4" t="s">
        <v>59</v>
      </c>
      <c r="AH85" s="4" t="s">
        <v>60</v>
      </c>
      <c r="AI85" s="4" t="s">
        <v>61</v>
      </c>
      <c r="AJ85" s="4" t="s">
        <v>62</v>
      </c>
      <c r="AK85" s="4" t="s">
        <v>63</v>
      </c>
      <c r="AL85" s="4" t="s">
        <v>64</v>
      </c>
      <c r="AM85" s="4" t="s">
        <v>65</v>
      </c>
      <c r="AN85" s="4" t="s">
        <v>66</v>
      </c>
      <c r="AO85" s="5" t="s">
        <v>83</v>
      </c>
      <c r="AP85" s="4" t="s">
        <v>55</v>
      </c>
      <c r="AQ85" s="4" t="s">
        <v>56</v>
      </c>
      <c r="AR85" s="4" t="s">
        <v>57</v>
      </c>
      <c r="AS85" s="4" t="s">
        <v>58</v>
      </c>
      <c r="AT85" s="4" t="s">
        <v>59</v>
      </c>
      <c r="AU85" s="4" t="s">
        <v>60</v>
      </c>
      <c r="AV85" s="4" t="s">
        <v>61</v>
      </c>
      <c r="AW85" s="4" t="s">
        <v>62</v>
      </c>
      <c r="AX85" s="4" t="s">
        <v>63</v>
      </c>
      <c r="AY85" s="4" t="s">
        <v>64</v>
      </c>
      <c r="AZ85" s="4" t="s">
        <v>65</v>
      </c>
      <c r="BA85" s="4" t="s">
        <v>66</v>
      </c>
      <c r="BB85" s="5" t="s">
        <v>84</v>
      </c>
      <c r="BC85" s="4" t="s">
        <v>55</v>
      </c>
      <c r="BD85" s="4" t="s">
        <v>56</v>
      </c>
      <c r="BE85" s="4" t="s">
        <v>57</v>
      </c>
      <c r="BF85" s="4" t="s">
        <v>58</v>
      </c>
      <c r="BG85" s="4" t="s">
        <v>59</v>
      </c>
      <c r="BH85" s="4" t="s">
        <v>60</v>
      </c>
      <c r="BI85" s="4" t="s">
        <v>61</v>
      </c>
      <c r="BJ85" s="4" t="s">
        <v>62</v>
      </c>
      <c r="BK85" s="4" t="s">
        <v>63</v>
      </c>
      <c r="BL85" s="4" t="s">
        <v>64</v>
      </c>
      <c r="BM85" s="4" t="s">
        <v>65</v>
      </c>
      <c r="BN85" s="4" t="s">
        <v>66</v>
      </c>
      <c r="BO85" s="5" t="s">
        <v>85</v>
      </c>
      <c r="BP85" s="4" t="s">
        <v>55</v>
      </c>
      <c r="BQ85" s="4" t="s">
        <v>56</v>
      </c>
      <c r="BR85" s="4" t="s">
        <v>57</v>
      </c>
      <c r="BS85" s="4" t="s">
        <v>58</v>
      </c>
      <c r="BT85" s="4" t="s">
        <v>59</v>
      </c>
      <c r="BU85" s="4" t="s">
        <v>60</v>
      </c>
      <c r="BV85" s="4" t="s">
        <v>61</v>
      </c>
      <c r="BW85" s="4" t="s">
        <v>62</v>
      </c>
      <c r="BX85" s="4" t="s">
        <v>63</v>
      </c>
      <c r="BY85" s="4" t="s">
        <v>64</v>
      </c>
      <c r="BZ85" s="4" t="s">
        <v>65</v>
      </c>
      <c r="CA85" s="4" t="s">
        <v>66</v>
      </c>
      <c r="CB85" s="5" t="s">
        <v>86</v>
      </c>
    </row>
    <row r="86" spans="2:80" ht="28.05" customHeight="1" x14ac:dyDescent="0.3">
      <c r="B86" s="6" t="s">
        <v>46</v>
      </c>
      <c r="C86" s="9"/>
      <c r="D86" s="9"/>
      <c r="E86" s="9"/>
      <c r="F86" s="9"/>
      <c r="G86" s="9"/>
      <c r="H86" s="9"/>
      <c r="I86" s="9"/>
      <c r="J86" s="9"/>
      <c r="K86" s="9"/>
      <c r="L86" s="9"/>
      <c r="M86" s="9"/>
      <c r="N86" s="9"/>
      <c r="O86" s="8">
        <f t="shared" ref="O86:O91" si="66">N86</f>
        <v>0</v>
      </c>
      <c r="P86" s="9"/>
      <c r="Q86" s="9"/>
      <c r="R86" s="9"/>
      <c r="S86" s="9"/>
      <c r="T86" s="9"/>
      <c r="U86" s="9"/>
      <c r="V86" s="9"/>
      <c r="W86" s="9"/>
      <c r="X86" s="9"/>
      <c r="Y86" s="9"/>
      <c r="Z86" s="9"/>
      <c r="AA86" s="9"/>
      <c r="AB86" s="8">
        <f t="shared" ref="AB86:AB91" si="67">AA86</f>
        <v>0</v>
      </c>
      <c r="AC86" s="9"/>
      <c r="AD86" s="9"/>
      <c r="AE86" s="9"/>
      <c r="AF86" s="9"/>
      <c r="AG86" s="9"/>
      <c r="AH86" s="9"/>
      <c r="AI86" s="9"/>
      <c r="AJ86" s="9"/>
      <c r="AK86" s="9"/>
      <c r="AL86" s="9"/>
      <c r="AM86" s="9"/>
      <c r="AN86" s="9"/>
      <c r="AO86" s="8">
        <f t="shared" ref="AO86:AO91" si="68">AN86</f>
        <v>0</v>
      </c>
      <c r="AP86" s="7">
        <v>0</v>
      </c>
      <c r="AQ86" s="7">
        <v>0</v>
      </c>
      <c r="AR86" s="7">
        <v>0</v>
      </c>
      <c r="AS86" s="7">
        <v>0</v>
      </c>
      <c r="AT86" s="7">
        <v>0</v>
      </c>
      <c r="AU86" s="7">
        <v>0</v>
      </c>
      <c r="AV86" s="7">
        <v>0</v>
      </c>
      <c r="AW86" s="7">
        <v>0</v>
      </c>
      <c r="AX86" s="7">
        <v>0</v>
      </c>
      <c r="AY86" s="7">
        <v>0</v>
      </c>
      <c r="AZ86" s="7">
        <v>0</v>
      </c>
      <c r="BA86" s="7">
        <v>0</v>
      </c>
      <c r="BB86" s="8">
        <f t="shared" ref="BB86:BB91" si="69">BA86</f>
        <v>0</v>
      </c>
      <c r="BC86" s="7">
        <v>0</v>
      </c>
      <c r="BD86" s="7">
        <v>0</v>
      </c>
      <c r="BE86" s="7">
        <v>0</v>
      </c>
      <c r="BF86" s="7">
        <v>0</v>
      </c>
      <c r="BG86" s="7">
        <v>0</v>
      </c>
      <c r="BH86" s="7">
        <v>0</v>
      </c>
      <c r="BI86" s="7">
        <v>0</v>
      </c>
      <c r="BJ86" s="7">
        <v>0</v>
      </c>
      <c r="BK86" s="7">
        <v>0</v>
      </c>
      <c r="BL86" s="7">
        <v>0</v>
      </c>
      <c r="BM86" s="7">
        <v>0</v>
      </c>
      <c r="BN86" s="7">
        <v>0</v>
      </c>
      <c r="BO86" s="8">
        <f t="shared" ref="BO86:BO91" si="70">BN86</f>
        <v>0</v>
      </c>
      <c r="BP86" s="7">
        <v>0</v>
      </c>
      <c r="BQ86" s="7">
        <v>0</v>
      </c>
      <c r="BR86" s="7">
        <v>0</v>
      </c>
      <c r="BS86" s="7">
        <v>0</v>
      </c>
      <c r="BT86" s="7">
        <v>0</v>
      </c>
      <c r="BU86" s="7">
        <v>0</v>
      </c>
      <c r="BV86" s="7">
        <v>0</v>
      </c>
      <c r="BW86" s="9"/>
      <c r="BX86" s="9"/>
      <c r="BY86" s="9"/>
      <c r="BZ86" s="9"/>
      <c r="CA86" s="9"/>
      <c r="CB86" s="8">
        <f t="shared" ref="CB86:CB91" si="71">BV86</f>
        <v>0</v>
      </c>
    </row>
    <row r="87" spans="2:80" ht="28.05" customHeight="1" x14ac:dyDescent="0.3">
      <c r="B87" s="6" t="s">
        <v>47</v>
      </c>
      <c r="C87" s="9"/>
      <c r="D87" s="9"/>
      <c r="E87" s="9"/>
      <c r="F87" s="9"/>
      <c r="G87" s="9"/>
      <c r="H87" s="9"/>
      <c r="I87" s="9"/>
      <c r="J87" s="9"/>
      <c r="K87" s="9"/>
      <c r="L87" s="9"/>
      <c r="M87" s="9"/>
      <c r="N87" s="9"/>
      <c r="O87" s="8">
        <f t="shared" si="66"/>
        <v>0</v>
      </c>
      <c r="P87" s="9"/>
      <c r="Q87" s="9"/>
      <c r="R87" s="9"/>
      <c r="S87" s="9"/>
      <c r="T87" s="9"/>
      <c r="U87" s="9"/>
      <c r="V87" s="9"/>
      <c r="W87" s="9"/>
      <c r="X87" s="9"/>
      <c r="Y87" s="9"/>
      <c r="Z87" s="9"/>
      <c r="AA87" s="9"/>
      <c r="AB87" s="8">
        <f t="shared" si="67"/>
        <v>0</v>
      </c>
      <c r="AC87" s="9"/>
      <c r="AD87" s="9"/>
      <c r="AE87" s="9"/>
      <c r="AF87" s="9"/>
      <c r="AG87" s="9"/>
      <c r="AH87" s="9"/>
      <c r="AI87" s="9"/>
      <c r="AJ87" s="9"/>
      <c r="AK87" s="9"/>
      <c r="AL87" s="9"/>
      <c r="AM87" s="9"/>
      <c r="AN87" s="9"/>
      <c r="AO87" s="8">
        <f t="shared" si="68"/>
        <v>0</v>
      </c>
      <c r="AP87" s="7">
        <v>0</v>
      </c>
      <c r="AQ87" s="7">
        <v>0</v>
      </c>
      <c r="AR87" s="7">
        <v>0</v>
      </c>
      <c r="AS87" s="7">
        <v>0</v>
      </c>
      <c r="AT87" s="7">
        <v>0</v>
      </c>
      <c r="AU87" s="7">
        <v>0</v>
      </c>
      <c r="AV87" s="7">
        <v>0</v>
      </c>
      <c r="AW87" s="7">
        <v>0</v>
      </c>
      <c r="AX87" s="7">
        <v>0</v>
      </c>
      <c r="AY87" s="7">
        <v>0</v>
      </c>
      <c r="AZ87" s="7">
        <v>0</v>
      </c>
      <c r="BA87" s="7">
        <v>0</v>
      </c>
      <c r="BB87" s="8">
        <f t="shared" si="69"/>
        <v>0</v>
      </c>
      <c r="BC87" s="7">
        <v>0</v>
      </c>
      <c r="BD87" s="7">
        <v>0</v>
      </c>
      <c r="BE87" s="7">
        <v>0</v>
      </c>
      <c r="BF87" s="7">
        <v>0</v>
      </c>
      <c r="BG87" s="7">
        <v>0</v>
      </c>
      <c r="BH87" s="7">
        <v>0</v>
      </c>
      <c r="BI87" s="7">
        <v>0</v>
      </c>
      <c r="BJ87" s="7">
        <v>0</v>
      </c>
      <c r="BK87" s="7">
        <v>0</v>
      </c>
      <c r="BL87" s="7">
        <v>0</v>
      </c>
      <c r="BM87" s="7">
        <v>0</v>
      </c>
      <c r="BN87" s="7">
        <v>0</v>
      </c>
      <c r="BO87" s="8">
        <f t="shared" si="70"/>
        <v>0</v>
      </c>
      <c r="BP87" s="7">
        <v>0</v>
      </c>
      <c r="BQ87" s="7">
        <v>0</v>
      </c>
      <c r="BR87" s="7">
        <v>0</v>
      </c>
      <c r="BS87" s="7">
        <v>0</v>
      </c>
      <c r="BT87" s="7">
        <v>0</v>
      </c>
      <c r="BU87" s="7">
        <v>0</v>
      </c>
      <c r="BV87" s="7">
        <v>0</v>
      </c>
      <c r="BW87" s="9"/>
      <c r="BX87" s="9"/>
      <c r="BY87" s="9"/>
      <c r="BZ87" s="9"/>
      <c r="CA87" s="9"/>
      <c r="CB87" s="8">
        <f t="shared" si="71"/>
        <v>0</v>
      </c>
    </row>
    <row r="88" spans="2:80" ht="28.05" customHeight="1" x14ac:dyDescent="0.3">
      <c r="B88" s="6" t="s">
        <v>48</v>
      </c>
      <c r="C88" s="9"/>
      <c r="D88" s="9"/>
      <c r="E88" s="9"/>
      <c r="F88" s="9"/>
      <c r="G88" s="9"/>
      <c r="H88" s="9"/>
      <c r="I88" s="9"/>
      <c r="J88" s="9"/>
      <c r="K88" s="9"/>
      <c r="L88" s="9"/>
      <c r="M88" s="9"/>
      <c r="N88" s="9"/>
      <c r="O88" s="8">
        <f t="shared" si="66"/>
        <v>0</v>
      </c>
      <c r="P88" s="9"/>
      <c r="Q88" s="9"/>
      <c r="R88" s="9"/>
      <c r="S88" s="9"/>
      <c r="T88" s="9"/>
      <c r="U88" s="9"/>
      <c r="V88" s="9"/>
      <c r="W88" s="9"/>
      <c r="X88" s="9"/>
      <c r="Y88" s="9"/>
      <c r="Z88" s="9"/>
      <c r="AA88" s="9"/>
      <c r="AB88" s="8">
        <f t="shared" si="67"/>
        <v>0</v>
      </c>
      <c r="AC88" s="7">
        <v>17877772</v>
      </c>
      <c r="AD88" s="7">
        <v>17877772</v>
      </c>
      <c r="AE88" s="7">
        <v>17877772</v>
      </c>
      <c r="AF88" s="7">
        <v>17877772</v>
      </c>
      <c r="AG88" s="7">
        <v>17877772</v>
      </c>
      <c r="AH88" s="7">
        <v>17877772</v>
      </c>
      <c r="AI88" s="7">
        <v>17877772</v>
      </c>
      <c r="AJ88" s="7">
        <v>17877772</v>
      </c>
      <c r="AK88" s="7">
        <v>17877772</v>
      </c>
      <c r="AL88" s="7">
        <v>17877772</v>
      </c>
      <c r="AM88" s="7">
        <v>17877772</v>
      </c>
      <c r="AN88" s="7">
        <v>17877772</v>
      </c>
      <c r="AO88" s="8">
        <f t="shared" si="68"/>
        <v>17877772</v>
      </c>
      <c r="AP88" s="7">
        <v>0</v>
      </c>
      <c r="AQ88" s="7">
        <v>0</v>
      </c>
      <c r="AR88" s="7">
        <v>0</v>
      </c>
      <c r="AS88" s="7">
        <v>0</v>
      </c>
      <c r="AT88" s="7">
        <v>0</v>
      </c>
      <c r="AU88" s="7">
        <v>0</v>
      </c>
      <c r="AV88" s="7">
        <v>0</v>
      </c>
      <c r="AW88" s="7">
        <v>0</v>
      </c>
      <c r="AX88" s="7">
        <v>0</v>
      </c>
      <c r="AY88" s="7">
        <v>0</v>
      </c>
      <c r="AZ88" s="7">
        <v>0</v>
      </c>
      <c r="BA88" s="7">
        <v>0</v>
      </c>
      <c r="BB88" s="8">
        <f t="shared" si="69"/>
        <v>0</v>
      </c>
      <c r="BC88" s="7">
        <v>0</v>
      </c>
      <c r="BD88" s="7">
        <v>0</v>
      </c>
      <c r="BE88" s="7">
        <v>0</v>
      </c>
      <c r="BF88" s="7">
        <v>0</v>
      </c>
      <c r="BG88" s="7">
        <v>0</v>
      </c>
      <c r="BH88" s="7">
        <v>0</v>
      </c>
      <c r="BI88" s="7">
        <v>0</v>
      </c>
      <c r="BJ88" s="7">
        <v>0</v>
      </c>
      <c r="BK88" s="7">
        <v>0</v>
      </c>
      <c r="BL88" s="7">
        <v>0</v>
      </c>
      <c r="BM88" s="7">
        <v>0</v>
      </c>
      <c r="BN88" s="7">
        <v>0</v>
      </c>
      <c r="BO88" s="8">
        <f t="shared" si="70"/>
        <v>0</v>
      </c>
      <c r="BP88" s="7">
        <v>0</v>
      </c>
      <c r="BQ88" s="7">
        <v>0</v>
      </c>
      <c r="BR88" s="7">
        <v>0</v>
      </c>
      <c r="BS88" s="7">
        <v>0</v>
      </c>
      <c r="BT88" s="7">
        <v>0</v>
      </c>
      <c r="BU88" s="7">
        <v>0</v>
      </c>
      <c r="BV88" s="7">
        <v>0</v>
      </c>
      <c r="BW88" s="9"/>
      <c r="BX88" s="9"/>
      <c r="BY88" s="9"/>
      <c r="BZ88" s="9"/>
      <c r="CA88" s="9"/>
      <c r="CB88" s="8">
        <f t="shared" si="71"/>
        <v>0</v>
      </c>
    </row>
    <row r="89" spans="2:80" ht="28.05" customHeight="1" x14ac:dyDescent="0.3">
      <c r="B89" s="6" t="s">
        <v>49</v>
      </c>
      <c r="C89" s="9"/>
      <c r="D89" s="9"/>
      <c r="E89" s="9"/>
      <c r="F89" s="9"/>
      <c r="G89" s="9"/>
      <c r="H89" s="9"/>
      <c r="I89" s="9"/>
      <c r="J89" s="9"/>
      <c r="K89" s="9"/>
      <c r="L89" s="9"/>
      <c r="M89" s="9"/>
      <c r="N89" s="9"/>
      <c r="O89" s="8">
        <f t="shared" si="66"/>
        <v>0</v>
      </c>
      <c r="P89" s="9"/>
      <c r="Q89" s="9"/>
      <c r="R89" s="9"/>
      <c r="S89" s="9"/>
      <c r="T89" s="9"/>
      <c r="U89" s="9"/>
      <c r="V89" s="9"/>
      <c r="W89" s="9"/>
      <c r="X89" s="9"/>
      <c r="Y89" s="9"/>
      <c r="Z89" s="9"/>
      <c r="AA89" s="9"/>
      <c r="AB89" s="8">
        <f t="shared" si="67"/>
        <v>0</v>
      </c>
      <c r="AC89" s="9"/>
      <c r="AD89" s="9"/>
      <c r="AE89" s="9"/>
      <c r="AF89" s="9"/>
      <c r="AG89" s="9"/>
      <c r="AH89" s="9"/>
      <c r="AI89" s="9"/>
      <c r="AJ89" s="9"/>
      <c r="AK89" s="9"/>
      <c r="AL89" s="9"/>
      <c r="AM89" s="9"/>
      <c r="AN89" s="9"/>
      <c r="AO89" s="8">
        <f t="shared" si="68"/>
        <v>0</v>
      </c>
      <c r="AP89" s="7">
        <v>0</v>
      </c>
      <c r="AQ89" s="7">
        <v>0</v>
      </c>
      <c r="AR89" s="7">
        <v>0</v>
      </c>
      <c r="AS89" s="7">
        <v>0</v>
      </c>
      <c r="AT89" s="7">
        <v>0</v>
      </c>
      <c r="AU89" s="7">
        <v>0</v>
      </c>
      <c r="AV89" s="7">
        <v>0</v>
      </c>
      <c r="AW89" s="7">
        <v>0</v>
      </c>
      <c r="AX89" s="7">
        <v>0</v>
      </c>
      <c r="AY89" s="7">
        <v>0</v>
      </c>
      <c r="AZ89" s="7">
        <v>0</v>
      </c>
      <c r="BA89" s="7">
        <v>0</v>
      </c>
      <c r="BB89" s="8">
        <f t="shared" si="69"/>
        <v>0</v>
      </c>
      <c r="BC89" s="7">
        <v>0</v>
      </c>
      <c r="BD89" s="7">
        <v>0</v>
      </c>
      <c r="BE89" s="7">
        <v>0</v>
      </c>
      <c r="BF89" s="7">
        <v>0</v>
      </c>
      <c r="BG89" s="7">
        <v>0</v>
      </c>
      <c r="BH89" s="7">
        <v>0</v>
      </c>
      <c r="BI89" s="7">
        <v>0</v>
      </c>
      <c r="BJ89" s="7">
        <v>0</v>
      </c>
      <c r="BK89" s="7">
        <v>0</v>
      </c>
      <c r="BL89" s="7">
        <v>0</v>
      </c>
      <c r="BM89" s="7">
        <v>0</v>
      </c>
      <c r="BN89" s="7">
        <v>0</v>
      </c>
      <c r="BO89" s="8">
        <f t="shared" si="70"/>
        <v>0</v>
      </c>
      <c r="BP89" s="7">
        <v>0</v>
      </c>
      <c r="BQ89" s="7">
        <v>0</v>
      </c>
      <c r="BR89" s="7">
        <v>0</v>
      </c>
      <c r="BS89" s="7">
        <v>0</v>
      </c>
      <c r="BT89" s="7">
        <v>0</v>
      </c>
      <c r="BU89" s="7">
        <v>0</v>
      </c>
      <c r="BV89" s="7">
        <v>0</v>
      </c>
      <c r="BW89" s="9"/>
      <c r="BX89" s="9"/>
      <c r="BY89" s="9"/>
      <c r="BZ89" s="9"/>
      <c r="CA89" s="9"/>
      <c r="CB89" s="8">
        <f t="shared" si="71"/>
        <v>0</v>
      </c>
    </row>
    <row r="90" spans="2:80" ht="28.05" customHeight="1" x14ac:dyDescent="0.3">
      <c r="B90" s="6" t="s">
        <v>50</v>
      </c>
      <c r="C90" s="9"/>
      <c r="D90" s="9"/>
      <c r="E90" s="9"/>
      <c r="F90" s="9"/>
      <c r="G90" s="9"/>
      <c r="H90" s="9"/>
      <c r="I90" s="9"/>
      <c r="J90" s="9"/>
      <c r="K90" s="9"/>
      <c r="L90" s="9"/>
      <c r="M90" s="9"/>
      <c r="N90" s="9"/>
      <c r="O90" s="8">
        <f t="shared" si="66"/>
        <v>0</v>
      </c>
      <c r="P90" s="9"/>
      <c r="Q90" s="9"/>
      <c r="R90" s="9"/>
      <c r="S90" s="9"/>
      <c r="T90" s="9"/>
      <c r="U90" s="9"/>
      <c r="V90" s="9"/>
      <c r="W90" s="9"/>
      <c r="X90" s="9"/>
      <c r="Y90" s="9"/>
      <c r="Z90" s="9"/>
      <c r="AA90" s="9"/>
      <c r="AB90" s="8">
        <f t="shared" si="67"/>
        <v>0</v>
      </c>
      <c r="AC90" s="9"/>
      <c r="AD90" s="9"/>
      <c r="AE90" s="9"/>
      <c r="AF90" s="9"/>
      <c r="AG90" s="9"/>
      <c r="AH90" s="9"/>
      <c r="AI90" s="9"/>
      <c r="AJ90" s="9"/>
      <c r="AK90" s="9"/>
      <c r="AL90" s="9"/>
      <c r="AM90" s="9"/>
      <c r="AN90" s="9"/>
      <c r="AO90" s="8">
        <f t="shared" si="68"/>
        <v>0</v>
      </c>
      <c r="AP90" s="7">
        <v>0</v>
      </c>
      <c r="AQ90" s="7">
        <v>0</v>
      </c>
      <c r="AR90" s="7">
        <v>0</v>
      </c>
      <c r="AS90" s="7">
        <v>0</v>
      </c>
      <c r="AT90" s="7">
        <v>0</v>
      </c>
      <c r="AU90" s="7">
        <v>0</v>
      </c>
      <c r="AV90" s="7">
        <v>0</v>
      </c>
      <c r="AW90" s="7">
        <v>0</v>
      </c>
      <c r="AX90" s="7">
        <v>0</v>
      </c>
      <c r="AY90" s="7">
        <v>0</v>
      </c>
      <c r="AZ90" s="7">
        <v>0</v>
      </c>
      <c r="BA90" s="7">
        <v>0</v>
      </c>
      <c r="BB90" s="8">
        <f t="shared" si="69"/>
        <v>0</v>
      </c>
      <c r="BC90" s="7">
        <v>0</v>
      </c>
      <c r="BD90" s="7">
        <v>0</v>
      </c>
      <c r="BE90" s="7">
        <v>0</v>
      </c>
      <c r="BF90" s="7">
        <v>0</v>
      </c>
      <c r="BG90" s="7">
        <v>0</v>
      </c>
      <c r="BH90" s="7">
        <v>0</v>
      </c>
      <c r="BI90" s="7">
        <v>0</v>
      </c>
      <c r="BJ90" s="7">
        <v>0</v>
      </c>
      <c r="BK90" s="7">
        <v>0</v>
      </c>
      <c r="BL90" s="7">
        <v>0</v>
      </c>
      <c r="BM90" s="7">
        <v>0</v>
      </c>
      <c r="BN90" s="7">
        <v>0</v>
      </c>
      <c r="BO90" s="8">
        <f t="shared" si="70"/>
        <v>0</v>
      </c>
      <c r="BP90" s="7">
        <v>0</v>
      </c>
      <c r="BQ90" s="7">
        <v>0</v>
      </c>
      <c r="BR90" s="7">
        <v>0</v>
      </c>
      <c r="BS90" s="7">
        <v>0</v>
      </c>
      <c r="BT90" s="7">
        <v>0</v>
      </c>
      <c r="BU90" s="7">
        <v>0</v>
      </c>
      <c r="BV90" s="7">
        <v>0</v>
      </c>
      <c r="BW90" s="9"/>
      <c r="BX90" s="9"/>
      <c r="BY90" s="9"/>
      <c r="BZ90" s="9"/>
      <c r="CA90" s="9"/>
      <c r="CB90" s="8">
        <f t="shared" si="71"/>
        <v>0</v>
      </c>
    </row>
    <row r="91" spans="2:80" ht="28.05" customHeight="1" x14ac:dyDescent="0.3">
      <c r="B91" s="6" t="s">
        <v>51</v>
      </c>
      <c r="C91" s="9"/>
      <c r="D91" s="9"/>
      <c r="E91" s="9"/>
      <c r="F91" s="9"/>
      <c r="G91" s="9"/>
      <c r="H91" s="9"/>
      <c r="I91" s="9"/>
      <c r="J91" s="9"/>
      <c r="K91" s="9"/>
      <c r="L91" s="9"/>
      <c r="M91" s="9"/>
      <c r="N91" s="9"/>
      <c r="O91" s="8">
        <f t="shared" si="66"/>
        <v>0</v>
      </c>
      <c r="P91" s="9"/>
      <c r="Q91" s="9"/>
      <c r="R91" s="9"/>
      <c r="S91" s="9"/>
      <c r="T91" s="9"/>
      <c r="U91" s="9"/>
      <c r="V91" s="9"/>
      <c r="W91" s="9"/>
      <c r="X91" s="9"/>
      <c r="Y91" s="9"/>
      <c r="Z91" s="9"/>
      <c r="AA91" s="9"/>
      <c r="AB91" s="8">
        <f t="shared" si="67"/>
        <v>0</v>
      </c>
      <c r="AC91" s="9"/>
      <c r="AD91" s="9"/>
      <c r="AE91" s="9"/>
      <c r="AF91" s="9"/>
      <c r="AG91" s="9"/>
      <c r="AH91" s="9"/>
      <c r="AI91" s="9"/>
      <c r="AJ91" s="9"/>
      <c r="AK91" s="9"/>
      <c r="AL91" s="9"/>
      <c r="AM91" s="9"/>
      <c r="AN91" s="9"/>
      <c r="AO91" s="8">
        <f t="shared" si="68"/>
        <v>0</v>
      </c>
      <c r="AP91" s="7">
        <v>0</v>
      </c>
      <c r="AQ91" s="7">
        <v>0</v>
      </c>
      <c r="AR91" s="7">
        <v>0</v>
      </c>
      <c r="AS91" s="7">
        <v>0</v>
      </c>
      <c r="AT91" s="7">
        <v>0</v>
      </c>
      <c r="AU91" s="7">
        <v>0</v>
      </c>
      <c r="AV91" s="7">
        <v>0</v>
      </c>
      <c r="AW91" s="7">
        <v>0</v>
      </c>
      <c r="AX91" s="7">
        <v>0</v>
      </c>
      <c r="AY91" s="7">
        <v>0</v>
      </c>
      <c r="AZ91" s="7">
        <v>0</v>
      </c>
      <c r="BA91" s="7">
        <v>0</v>
      </c>
      <c r="BB91" s="8">
        <f t="shared" si="69"/>
        <v>0</v>
      </c>
      <c r="BC91" s="7">
        <v>0</v>
      </c>
      <c r="BD91" s="7">
        <v>0</v>
      </c>
      <c r="BE91" s="7">
        <v>0</v>
      </c>
      <c r="BF91" s="7">
        <v>0</v>
      </c>
      <c r="BG91" s="7">
        <v>0</v>
      </c>
      <c r="BH91" s="7">
        <v>0</v>
      </c>
      <c r="BI91" s="7">
        <v>0</v>
      </c>
      <c r="BJ91" s="7">
        <v>0</v>
      </c>
      <c r="BK91" s="7">
        <v>0</v>
      </c>
      <c r="BL91" s="7">
        <v>0</v>
      </c>
      <c r="BM91" s="7">
        <v>0</v>
      </c>
      <c r="BN91" s="7">
        <v>0</v>
      </c>
      <c r="BO91" s="8">
        <f t="shared" si="70"/>
        <v>0</v>
      </c>
      <c r="BP91" s="7">
        <v>0</v>
      </c>
      <c r="BQ91" s="7">
        <v>0</v>
      </c>
      <c r="BR91" s="7">
        <v>0</v>
      </c>
      <c r="BS91" s="7">
        <v>0</v>
      </c>
      <c r="BT91" s="7">
        <v>0</v>
      </c>
      <c r="BU91" s="7">
        <v>0</v>
      </c>
      <c r="BV91" s="7">
        <v>0</v>
      </c>
      <c r="BW91" s="9"/>
      <c r="BX91" s="9"/>
      <c r="BY91" s="9"/>
      <c r="BZ91" s="9"/>
      <c r="CA91" s="9"/>
      <c r="CB91" s="8">
        <f t="shared" si="71"/>
        <v>0</v>
      </c>
    </row>
    <row r="92" spans="2:80" ht="22.05" customHeight="1" x14ac:dyDescent="0.3">
      <c r="B92" s="3" t="s">
        <v>87</v>
      </c>
      <c r="C92" s="10">
        <f t="shared" ref="C92:AH92" si="72">SUM(C86:C91)</f>
        <v>0</v>
      </c>
      <c r="D92" s="10">
        <f t="shared" si="72"/>
        <v>0</v>
      </c>
      <c r="E92" s="10">
        <f t="shared" si="72"/>
        <v>0</v>
      </c>
      <c r="F92" s="10">
        <f t="shared" si="72"/>
        <v>0</v>
      </c>
      <c r="G92" s="10">
        <f t="shared" si="72"/>
        <v>0</v>
      </c>
      <c r="H92" s="10">
        <f t="shared" si="72"/>
        <v>0</v>
      </c>
      <c r="I92" s="10">
        <f t="shared" si="72"/>
        <v>0</v>
      </c>
      <c r="J92" s="10">
        <f t="shared" si="72"/>
        <v>0</v>
      </c>
      <c r="K92" s="10">
        <f t="shared" si="72"/>
        <v>0</v>
      </c>
      <c r="L92" s="10">
        <f t="shared" si="72"/>
        <v>0</v>
      </c>
      <c r="M92" s="10">
        <f t="shared" si="72"/>
        <v>0</v>
      </c>
      <c r="N92" s="10">
        <f t="shared" si="72"/>
        <v>0</v>
      </c>
      <c r="O92" s="10">
        <f t="shared" si="72"/>
        <v>0</v>
      </c>
      <c r="P92" s="10">
        <f t="shared" si="72"/>
        <v>0</v>
      </c>
      <c r="Q92" s="10">
        <f t="shared" si="72"/>
        <v>0</v>
      </c>
      <c r="R92" s="10">
        <f t="shared" si="72"/>
        <v>0</v>
      </c>
      <c r="S92" s="10">
        <f t="shared" si="72"/>
        <v>0</v>
      </c>
      <c r="T92" s="10">
        <f t="shared" si="72"/>
        <v>0</v>
      </c>
      <c r="U92" s="10">
        <f t="shared" si="72"/>
        <v>0</v>
      </c>
      <c r="V92" s="10">
        <f t="shared" si="72"/>
        <v>0</v>
      </c>
      <c r="W92" s="10">
        <f t="shared" si="72"/>
        <v>0</v>
      </c>
      <c r="X92" s="10">
        <f t="shared" si="72"/>
        <v>0</v>
      </c>
      <c r="Y92" s="10">
        <f t="shared" si="72"/>
        <v>0</v>
      </c>
      <c r="Z92" s="10">
        <f t="shared" si="72"/>
        <v>0</v>
      </c>
      <c r="AA92" s="10">
        <f t="shared" si="72"/>
        <v>0</v>
      </c>
      <c r="AB92" s="10">
        <f t="shared" si="72"/>
        <v>0</v>
      </c>
      <c r="AC92" s="10">
        <f t="shared" si="72"/>
        <v>17877772</v>
      </c>
      <c r="AD92" s="10">
        <f t="shared" si="72"/>
        <v>17877772</v>
      </c>
      <c r="AE92" s="10">
        <f t="shared" si="72"/>
        <v>17877772</v>
      </c>
      <c r="AF92" s="10">
        <f t="shared" si="72"/>
        <v>17877772</v>
      </c>
      <c r="AG92" s="10">
        <f t="shared" si="72"/>
        <v>17877772</v>
      </c>
      <c r="AH92" s="10">
        <f t="shared" si="72"/>
        <v>17877772</v>
      </c>
      <c r="AI92" s="10">
        <f t="shared" ref="AI92:BN92" si="73">SUM(AI86:AI91)</f>
        <v>17877772</v>
      </c>
      <c r="AJ92" s="10">
        <f t="shared" si="73"/>
        <v>17877772</v>
      </c>
      <c r="AK92" s="10">
        <f t="shared" si="73"/>
        <v>17877772</v>
      </c>
      <c r="AL92" s="10">
        <f t="shared" si="73"/>
        <v>17877772</v>
      </c>
      <c r="AM92" s="10">
        <f t="shared" si="73"/>
        <v>17877772</v>
      </c>
      <c r="AN92" s="10">
        <f t="shared" si="73"/>
        <v>17877772</v>
      </c>
      <c r="AO92" s="10">
        <f t="shared" si="73"/>
        <v>17877772</v>
      </c>
      <c r="AP92" s="10">
        <f t="shared" si="73"/>
        <v>0</v>
      </c>
      <c r="AQ92" s="10">
        <f t="shared" si="73"/>
        <v>0</v>
      </c>
      <c r="AR92" s="10">
        <f t="shared" si="73"/>
        <v>0</v>
      </c>
      <c r="AS92" s="10">
        <f t="shared" si="73"/>
        <v>0</v>
      </c>
      <c r="AT92" s="10">
        <f t="shared" si="73"/>
        <v>0</v>
      </c>
      <c r="AU92" s="10">
        <f t="shared" si="73"/>
        <v>0</v>
      </c>
      <c r="AV92" s="10">
        <f t="shared" si="73"/>
        <v>0</v>
      </c>
      <c r="AW92" s="10">
        <f t="shared" si="73"/>
        <v>0</v>
      </c>
      <c r="AX92" s="10">
        <f t="shared" si="73"/>
        <v>0</v>
      </c>
      <c r="AY92" s="10">
        <f t="shared" si="73"/>
        <v>0</v>
      </c>
      <c r="AZ92" s="10">
        <f t="shared" si="73"/>
        <v>0</v>
      </c>
      <c r="BA92" s="10">
        <f t="shared" si="73"/>
        <v>0</v>
      </c>
      <c r="BB92" s="10">
        <f t="shared" si="73"/>
        <v>0</v>
      </c>
      <c r="BC92" s="10">
        <f t="shared" si="73"/>
        <v>0</v>
      </c>
      <c r="BD92" s="10">
        <f t="shared" si="73"/>
        <v>0</v>
      </c>
      <c r="BE92" s="10">
        <f t="shared" si="73"/>
        <v>0</v>
      </c>
      <c r="BF92" s="10">
        <f t="shared" si="73"/>
        <v>0</v>
      </c>
      <c r="BG92" s="10">
        <f t="shared" si="73"/>
        <v>0</v>
      </c>
      <c r="BH92" s="10">
        <f t="shared" si="73"/>
        <v>0</v>
      </c>
      <c r="BI92" s="10">
        <f t="shared" si="73"/>
        <v>0</v>
      </c>
      <c r="BJ92" s="10">
        <f t="shared" si="73"/>
        <v>0</v>
      </c>
      <c r="BK92" s="10">
        <f t="shared" si="73"/>
        <v>0</v>
      </c>
      <c r="BL92" s="10">
        <f t="shared" si="73"/>
        <v>0</v>
      </c>
      <c r="BM92" s="10">
        <f t="shared" si="73"/>
        <v>0</v>
      </c>
      <c r="BN92" s="10">
        <f t="shared" si="73"/>
        <v>0</v>
      </c>
      <c r="BO92" s="10">
        <f t="shared" ref="BO92:CB92" si="74">SUM(BO86:BO91)</f>
        <v>0</v>
      </c>
      <c r="BP92" s="10">
        <f t="shared" si="74"/>
        <v>0</v>
      </c>
      <c r="BQ92" s="10">
        <f t="shared" si="74"/>
        <v>0</v>
      </c>
      <c r="BR92" s="10">
        <f t="shared" si="74"/>
        <v>0</v>
      </c>
      <c r="BS92" s="10">
        <f t="shared" si="74"/>
        <v>0</v>
      </c>
      <c r="BT92" s="10">
        <f t="shared" si="74"/>
        <v>0</v>
      </c>
      <c r="BU92" s="10">
        <f t="shared" si="74"/>
        <v>0</v>
      </c>
      <c r="BV92" s="10">
        <f t="shared" si="74"/>
        <v>0</v>
      </c>
      <c r="BW92" s="10">
        <f t="shared" si="74"/>
        <v>0</v>
      </c>
      <c r="BX92" s="10">
        <f t="shared" si="74"/>
        <v>0</v>
      </c>
      <c r="BY92" s="10">
        <f t="shared" si="74"/>
        <v>0</v>
      </c>
      <c r="BZ92" s="10">
        <f t="shared" si="74"/>
        <v>0</v>
      </c>
      <c r="CA92" s="10">
        <f t="shared" si="74"/>
        <v>0</v>
      </c>
      <c r="CB92" s="10">
        <f t="shared" si="74"/>
        <v>0</v>
      </c>
    </row>
    <row r="93" spans="2:80" x14ac:dyDescent="0.3">
      <c r="B93" s="58" t="s">
        <v>99</v>
      </c>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row>
    <row r="95" spans="2:80" ht="16.05" customHeight="1" x14ac:dyDescent="0.3">
      <c r="B95" s="62" t="s">
        <v>100</v>
      </c>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row>
    <row r="96" spans="2:80" ht="22.05" customHeight="1" x14ac:dyDescent="0.3">
      <c r="B96" s="2"/>
      <c r="C96" s="60">
        <v>2021</v>
      </c>
      <c r="D96" s="61"/>
      <c r="E96" s="61"/>
      <c r="F96" s="61"/>
      <c r="G96" s="61"/>
      <c r="H96" s="61"/>
      <c r="I96" s="61"/>
      <c r="J96" s="61"/>
      <c r="K96" s="61"/>
      <c r="L96" s="61"/>
      <c r="M96" s="61"/>
      <c r="N96" s="61"/>
      <c r="O96" s="61"/>
      <c r="P96" s="60">
        <v>2022</v>
      </c>
      <c r="Q96" s="61"/>
      <c r="R96" s="61"/>
      <c r="S96" s="61"/>
      <c r="T96" s="61"/>
      <c r="U96" s="61"/>
      <c r="V96" s="61"/>
      <c r="W96" s="61"/>
      <c r="X96" s="61"/>
      <c r="Y96" s="61"/>
      <c r="Z96" s="61"/>
      <c r="AA96" s="61"/>
      <c r="AB96" s="61"/>
      <c r="AC96" s="60">
        <v>2023</v>
      </c>
      <c r="AD96" s="61"/>
      <c r="AE96" s="61"/>
      <c r="AF96" s="61"/>
      <c r="AG96" s="61"/>
      <c r="AH96" s="61"/>
      <c r="AI96" s="61"/>
      <c r="AJ96" s="61"/>
      <c r="AK96" s="61"/>
      <c r="AL96" s="61"/>
      <c r="AM96" s="61"/>
      <c r="AN96" s="61"/>
      <c r="AO96" s="61"/>
      <c r="AP96" s="60">
        <v>2024</v>
      </c>
      <c r="AQ96" s="61"/>
      <c r="AR96" s="61"/>
      <c r="AS96" s="61"/>
      <c r="AT96" s="61"/>
      <c r="AU96" s="61"/>
      <c r="AV96" s="61"/>
      <c r="AW96" s="61"/>
      <c r="AX96" s="61"/>
      <c r="AY96" s="61"/>
      <c r="AZ96" s="61"/>
      <c r="BA96" s="61"/>
      <c r="BB96" s="61"/>
      <c r="BC96" s="60">
        <v>2025</v>
      </c>
      <c r="BD96" s="61"/>
      <c r="BE96" s="61"/>
      <c r="BF96" s="61"/>
      <c r="BG96" s="61"/>
      <c r="BH96" s="61"/>
      <c r="BI96" s="61"/>
      <c r="BJ96" s="61"/>
      <c r="BK96" s="61"/>
      <c r="BL96" s="61"/>
      <c r="BM96" s="61"/>
      <c r="BN96" s="61"/>
      <c r="BO96" s="61"/>
      <c r="BP96" s="60">
        <v>2026</v>
      </c>
      <c r="BQ96" s="61"/>
      <c r="BR96" s="61"/>
      <c r="BS96" s="61"/>
      <c r="BT96" s="61"/>
      <c r="BU96" s="61"/>
      <c r="BV96" s="61"/>
      <c r="BW96" s="61"/>
      <c r="BX96" s="61"/>
      <c r="BY96" s="61"/>
      <c r="BZ96" s="61"/>
      <c r="CA96" s="61"/>
      <c r="CB96" s="61"/>
    </row>
    <row r="97" spans="2:80" ht="28.05" customHeight="1" x14ac:dyDescent="0.3">
      <c r="B97" s="3" t="s">
        <v>80</v>
      </c>
      <c r="C97" s="4" t="s">
        <v>55</v>
      </c>
      <c r="D97" s="4" t="s">
        <v>56</v>
      </c>
      <c r="E97" s="4" t="s">
        <v>57</v>
      </c>
      <c r="F97" s="4" t="s">
        <v>58</v>
      </c>
      <c r="G97" s="4" t="s">
        <v>59</v>
      </c>
      <c r="H97" s="4" t="s">
        <v>60</v>
      </c>
      <c r="I97" s="4" t="s">
        <v>61</v>
      </c>
      <c r="J97" s="4" t="s">
        <v>62</v>
      </c>
      <c r="K97" s="4" t="s">
        <v>63</v>
      </c>
      <c r="L97" s="4" t="s">
        <v>64</v>
      </c>
      <c r="M97" s="4" t="s">
        <v>65</v>
      </c>
      <c r="N97" s="4" t="s">
        <v>66</v>
      </c>
      <c r="O97" s="5" t="s">
        <v>81</v>
      </c>
      <c r="P97" s="4" t="s">
        <v>55</v>
      </c>
      <c r="Q97" s="4" t="s">
        <v>56</v>
      </c>
      <c r="R97" s="4" t="s">
        <v>57</v>
      </c>
      <c r="S97" s="4" t="s">
        <v>58</v>
      </c>
      <c r="T97" s="4" t="s">
        <v>59</v>
      </c>
      <c r="U97" s="4" t="s">
        <v>60</v>
      </c>
      <c r="V97" s="4" t="s">
        <v>61</v>
      </c>
      <c r="W97" s="4" t="s">
        <v>62</v>
      </c>
      <c r="X97" s="4" t="s">
        <v>63</v>
      </c>
      <c r="Y97" s="4" t="s">
        <v>64</v>
      </c>
      <c r="Z97" s="4" t="s">
        <v>65</v>
      </c>
      <c r="AA97" s="4" t="s">
        <v>66</v>
      </c>
      <c r="AB97" s="5" t="s">
        <v>82</v>
      </c>
      <c r="AC97" s="4" t="s">
        <v>55</v>
      </c>
      <c r="AD97" s="4" t="s">
        <v>56</v>
      </c>
      <c r="AE97" s="4" t="s">
        <v>57</v>
      </c>
      <c r="AF97" s="4" t="s">
        <v>58</v>
      </c>
      <c r="AG97" s="4" t="s">
        <v>59</v>
      </c>
      <c r="AH97" s="4" t="s">
        <v>60</v>
      </c>
      <c r="AI97" s="4" t="s">
        <v>61</v>
      </c>
      <c r="AJ97" s="4" t="s">
        <v>62</v>
      </c>
      <c r="AK97" s="4" t="s">
        <v>63</v>
      </c>
      <c r="AL97" s="4" t="s">
        <v>64</v>
      </c>
      <c r="AM97" s="4" t="s">
        <v>65</v>
      </c>
      <c r="AN97" s="4" t="s">
        <v>66</v>
      </c>
      <c r="AO97" s="5" t="s">
        <v>83</v>
      </c>
      <c r="AP97" s="4" t="s">
        <v>55</v>
      </c>
      <c r="AQ97" s="4" t="s">
        <v>56</v>
      </c>
      <c r="AR97" s="4" t="s">
        <v>57</v>
      </c>
      <c r="AS97" s="4" t="s">
        <v>58</v>
      </c>
      <c r="AT97" s="4" t="s">
        <v>59</v>
      </c>
      <c r="AU97" s="4" t="s">
        <v>60</v>
      </c>
      <c r="AV97" s="4" t="s">
        <v>61</v>
      </c>
      <c r="AW97" s="4" t="s">
        <v>62</v>
      </c>
      <c r="AX97" s="4" t="s">
        <v>63</v>
      </c>
      <c r="AY97" s="4" t="s">
        <v>64</v>
      </c>
      <c r="AZ97" s="4" t="s">
        <v>65</v>
      </c>
      <c r="BA97" s="4" t="s">
        <v>66</v>
      </c>
      <c r="BB97" s="5" t="s">
        <v>84</v>
      </c>
      <c r="BC97" s="4" t="s">
        <v>55</v>
      </c>
      <c r="BD97" s="4" t="s">
        <v>56</v>
      </c>
      <c r="BE97" s="4" t="s">
        <v>57</v>
      </c>
      <c r="BF97" s="4" t="s">
        <v>58</v>
      </c>
      <c r="BG97" s="4" t="s">
        <v>59</v>
      </c>
      <c r="BH97" s="4" t="s">
        <v>60</v>
      </c>
      <c r="BI97" s="4" t="s">
        <v>61</v>
      </c>
      <c r="BJ97" s="4" t="s">
        <v>62</v>
      </c>
      <c r="BK97" s="4" t="s">
        <v>63</v>
      </c>
      <c r="BL97" s="4" t="s">
        <v>64</v>
      </c>
      <c r="BM97" s="4" t="s">
        <v>65</v>
      </c>
      <c r="BN97" s="4" t="s">
        <v>66</v>
      </c>
      <c r="BO97" s="5" t="s">
        <v>85</v>
      </c>
      <c r="BP97" s="4" t="s">
        <v>55</v>
      </c>
      <c r="BQ97" s="4" t="s">
        <v>56</v>
      </c>
      <c r="BR97" s="4" t="s">
        <v>57</v>
      </c>
      <c r="BS97" s="4" t="s">
        <v>58</v>
      </c>
      <c r="BT97" s="4" t="s">
        <v>59</v>
      </c>
      <c r="BU97" s="4" t="s">
        <v>60</v>
      </c>
      <c r="BV97" s="4" t="s">
        <v>61</v>
      </c>
      <c r="BW97" s="4" t="s">
        <v>62</v>
      </c>
      <c r="BX97" s="4" t="s">
        <v>63</v>
      </c>
      <c r="BY97" s="4" t="s">
        <v>64</v>
      </c>
      <c r="BZ97" s="4" t="s">
        <v>65</v>
      </c>
      <c r="CA97" s="4" t="s">
        <v>66</v>
      </c>
      <c r="CB97" s="5" t="s">
        <v>86</v>
      </c>
    </row>
    <row r="98" spans="2:80" ht="28.05" customHeight="1" x14ac:dyDescent="0.3">
      <c r="B98" s="6" t="s">
        <v>46</v>
      </c>
      <c r="C98" s="9"/>
      <c r="D98" s="9"/>
      <c r="E98" s="9"/>
      <c r="F98" s="9"/>
      <c r="G98" s="9"/>
      <c r="H98" s="9"/>
      <c r="I98" s="9"/>
      <c r="J98" s="9"/>
      <c r="K98" s="9"/>
      <c r="L98" s="9"/>
      <c r="M98" s="9"/>
      <c r="N98" s="9"/>
      <c r="O98" s="8">
        <f t="shared" ref="O98:O103" si="75">N98</f>
        <v>0</v>
      </c>
      <c r="P98" s="9"/>
      <c r="Q98" s="9"/>
      <c r="R98" s="9"/>
      <c r="S98" s="9"/>
      <c r="T98" s="9"/>
      <c r="U98" s="9"/>
      <c r="V98" s="9"/>
      <c r="W98" s="9"/>
      <c r="X98" s="9"/>
      <c r="Y98" s="9"/>
      <c r="Z98" s="9"/>
      <c r="AA98" s="9"/>
      <c r="AB98" s="8">
        <f t="shared" ref="AB98:AB103" si="76">AA98</f>
        <v>0</v>
      </c>
      <c r="AC98" s="9"/>
      <c r="AD98" s="9"/>
      <c r="AE98" s="9"/>
      <c r="AF98" s="9"/>
      <c r="AG98" s="9"/>
      <c r="AH98" s="9"/>
      <c r="AI98" s="9"/>
      <c r="AJ98" s="9"/>
      <c r="AK98" s="9"/>
      <c r="AL98" s="9"/>
      <c r="AM98" s="9"/>
      <c r="AN98" s="9"/>
      <c r="AO98" s="8">
        <f t="shared" ref="AO98:AO103" si="77">AN98</f>
        <v>0</v>
      </c>
      <c r="AP98" s="7">
        <v>0</v>
      </c>
      <c r="AQ98" s="7">
        <v>0</v>
      </c>
      <c r="AR98" s="7">
        <v>0</v>
      </c>
      <c r="AS98" s="7">
        <v>0</v>
      </c>
      <c r="AT98" s="7">
        <v>0</v>
      </c>
      <c r="AU98" s="7">
        <v>0</v>
      </c>
      <c r="AV98" s="7">
        <v>0</v>
      </c>
      <c r="AW98" s="7">
        <v>0</v>
      </c>
      <c r="AX98" s="7">
        <v>0</v>
      </c>
      <c r="AY98" s="7">
        <v>0</v>
      </c>
      <c r="AZ98" s="7">
        <v>0</v>
      </c>
      <c r="BA98" s="7">
        <v>0</v>
      </c>
      <c r="BB98" s="8">
        <f t="shared" ref="BB98:BB103" si="78">BA98</f>
        <v>0</v>
      </c>
      <c r="BC98" s="7">
        <v>0</v>
      </c>
      <c r="BD98" s="7">
        <v>0</v>
      </c>
      <c r="BE98" s="7">
        <v>0</v>
      </c>
      <c r="BF98" s="7">
        <v>0</v>
      </c>
      <c r="BG98" s="7">
        <v>0</v>
      </c>
      <c r="BH98" s="7">
        <v>0</v>
      </c>
      <c r="BI98" s="7">
        <v>0</v>
      </c>
      <c r="BJ98" s="7">
        <v>0</v>
      </c>
      <c r="BK98" s="7">
        <v>0</v>
      </c>
      <c r="BL98" s="7">
        <v>0</v>
      </c>
      <c r="BM98" s="7">
        <v>0</v>
      </c>
      <c r="BN98" s="7">
        <v>0</v>
      </c>
      <c r="BO98" s="8">
        <f t="shared" ref="BO98:BO103" si="79">BN98</f>
        <v>0</v>
      </c>
      <c r="BP98" s="7">
        <v>0</v>
      </c>
      <c r="BQ98" s="7">
        <v>0</v>
      </c>
      <c r="BR98" s="7">
        <v>0</v>
      </c>
      <c r="BS98" s="7">
        <v>0</v>
      </c>
      <c r="BT98" s="7">
        <v>0</v>
      </c>
      <c r="BU98" s="7">
        <v>0</v>
      </c>
      <c r="BV98" s="7">
        <v>0</v>
      </c>
      <c r="BW98" s="9"/>
      <c r="BX98" s="9"/>
      <c r="BY98" s="9"/>
      <c r="BZ98" s="9"/>
      <c r="CA98" s="9"/>
      <c r="CB98" s="8">
        <f t="shared" ref="CB98:CB103" si="80">BV98</f>
        <v>0</v>
      </c>
    </row>
    <row r="99" spans="2:80" ht="28.05" customHeight="1" x14ac:dyDescent="0.3">
      <c r="B99" s="6" t="s">
        <v>47</v>
      </c>
      <c r="C99" s="9"/>
      <c r="D99" s="9"/>
      <c r="E99" s="9"/>
      <c r="F99" s="9"/>
      <c r="G99" s="9"/>
      <c r="H99" s="9"/>
      <c r="I99" s="9"/>
      <c r="J99" s="9"/>
      <c r="K99" s="9"/>
      <c r="L99" s="9"/>
      <c r="M99" s="9"/>
      <c r="N99" s="9"/>
      <c r="O99" s="8">
        <f t="shared" si="75"/>
        <v>0</v>
      </c>
      <c r="P99" s="9"/>
      <c r="Q99" s="9"/>
      <c r="R99" s="9"/>
      <c r="S99" s="9"/>
      <c r="T99" s="9"/>
      <c r="U99" s="9"/>
      <c r="V99" s="9"/>
      <c r="W99" s="9"/>
      <c r="X99" s="9"/>
      <c r="Y99" s="9"/>
      <c r="Z99" s="9"/>
      <c r="AA99" s="9"/>
      <c r="AB99" s="8">
        <f t="shared" si="76"/>
        <v>0</v>
      </c>
      <c r="AC99" s="9"/>
      <c r="AD99" s="9"/>
      <c r="AE99" s="9"/>
      <c r="AF99" s="9"/>
      <c r="AG99" s="9"/>
      <c r="AH99" s="9"/>
      <c r="AI99" s="9"/>
      <c r="AJ99" s="9"/>
      <c r="AK99" s="9"/>
      <c r="AL99" s="9"/>
      <c r="AM99" s="9"/>
      <c r="AN99" s="9"/>
      <c r="AO99" s="8">
        <f t="shared" si="77"/>
        <v>0</v>
      </c>
      <c r="AP99" s="7">
        <v>0</v>
      </c>
      <c r="AQ99" s="7">
        <v>0</v>
      </c>
      <c r="AR99" s="7">
        <v>0</v>
      </c>
      <c r="AS99" s="7">
        <v>0</v>
      </c>
      <c r="AT99" s="7">
        <v>0</v>
      </c>
      <c r="AU99" s="7">
        <v>0</v>
      </c>
      <c r="AV99" s="7">
        <v>0</v>
      </c>
      <c r="AW99" s="7">
        <v>0</v>
      </c>
      <c r="AX99" s="7">
        <v>0</v>
      </c>
      <c r="AY99" s="7">
        <v>0</v>
      </c>
      <c r="AZ99" s="7">
        <v>0</v>
      </c>
      <c r="BA99" s="7">
        <v>0</v>
      </c>
      <c r="BB99" s="8">
        <f t="shared" si="78"/>
        <v>0</v>
      </c>
      <c r="BC99" s="7">
        <v>0</v>
      </c>
      <c r="BD99" s="7">
        <v>0</v>
      </c>
      <c r="BE99" s="7">
        <v>0</v>
      </c>
      <c r="BF99" s="7">
        <v>0</v>
      </c>
      <c r="BG99" s="7">
        <v>0</v>
      </c>
      <c r="BH99" s="7">
        <v>0</v>
      </c>
      <c r="BI99" s="7">
        <v>0</v>
      </c>
      <c r="BJ99" s="7">
        <v>0</v>
      </c>
      <c r="BK99" s="7">
        <v>0</v>
      </c>
      <c r="BL99" s="7">
        <v>0</v>
      </c>
      <c r="BM99" s="7">
        <v>0</v>
      </c>
      <c r="BN99" s="7">
        <v>0</v>
      </c>
      <c r="BO99" s="8">
        <f t="shared" si="79"/>
        <v>0</v>
      </c>
      <c r="BP99" s="7">
        <v>0</v>
      </c>
      <c r="BQ99" s="7">
        <v>0</v>
      </c>
      <c r="BR99" s="7">
        <v>0</v>
      </c>
      <c r="BS99" s="7">
        <v>0</v>
      </c>
      <c r="BT99" s="7">
        <v>0</v>
      </c>
      <c r="BU99" s="7">
        <v>0</v>
      </c>
      <c r="BV99" s="7">
        <v>0</v>
      </c>
      <c r="BW99" s="9"/>
      <c r="BX99" s="9"/>
      <c r="BY99" s="9"/>
      <c r="BZ99" s="9"/>
      <c r="CA99" s="9"/>
      <c r="CB99" s="8">
        <f t="shared" si="80"/>
        <v>0</v>
      </c>
    </row>
    <row r="100" spans="2:80" ht="28.05" customHeight="1" x14ac:dyDescent="0.3">
      <c r="B100" s="6" t="s">
        <v>48</v>
      </c>
      <c r="C100" s="9"/>
      <c r="D100" s="9"/>
      <c r="E100" s="9"/>
      <c r="F100" s="9"/>
      <c r="G100" s="9"/>
      <c r="H100" s="9"/>
      <c r="I100" s="9"/>
      <c r="J100" s="9"/>
      <c r="K100" s="9"/>
      <c r="L100" s="9"/>
      <c r="M100" s="9"/>
      <c r="N100" s="9"/>
      <c r="O100" s="8">
        <f t="shared" si="75"/>
        <v>0</v>
      </c>
      <c r="P100" s="9"/>
      <c r="Q100" s="9"/>
      <c r="R100" s="9"/>
      <c r="S100" s="9"/>
      <c r="T100" s="9"/>
      <c r="U100" s="9"/>
      <c r="V100" s="9"/>
      <c r="W100" s="9"/>
      <c r="X100" s="9"/>
      <c r="Y100" s="9"/>
      <c r="Z100" s="9"/>
      <c r="AA100" s="9"/>
      <c r="AB100" s="8">
        <f t="shared" si="76"/>
        <v>0</v>
      </c>
      <c r="AC100" s="7">
        <v>17877772</v>
      </c>
      <c r="AD100" s="7">
        <v>17877772</v>
      </c>
      <c r="AE100" s="7">
        <v>17877772</v>
      </c>
      <c r="AF100" s="7">
        <v>17877772</v>
      </c>
      <c r="AG100" s="7">
        <v>17877772</v>
      </c>
      <c r="AH100" s="7">
        <v>17877772</v>
      </c>
      <c r="AI100" s="7">
        <v>17877772</v>
      </c>
      <c r="AJ100" s="7">
        <v>17772523</v>
      </c>
      <c r="AK100" s="7">
        <v>17772523</v>
      </c>
      <c r="AL100" s="7">
        <v>17772523</v>
      </c>
      <c r="AM100" s="7">
        <v>10123523</v>
      </c>
      <c r="AN100" s="7">
        <v>10123523</v>
      </c>
      <c r="AO100" s="8">
        <f t="shared" si="77"/>
        <v>10123523</v>
      </c>
      <c r="AP100" s="7">
        <v>0</v>
      </c>
      <c r="AQ100" s="7">
        <v>0</v>
      </c>
      <c r="AR100" s="7">
        <v>0</v>
      </c>
      <c r="AS100" s="7">
        <v>0</v>
      </c>
      <c r="AT100" s="7">
        <v>0</v>
      </c>
      <c r="AU100" s="7">
        <v>0</v>
      </c>
      <c r="AV100" s="7">
        <v>0</v>
      </c>
      <c r="AW100" s="7">
        <v>0</v>
      </c>
      <c r="AX100" s="7">
        <v>0</v>
      </c>
      <c r="AY100" s="7">
        <v>0</v>
      </c>
      <c r="AZ100" s="7">
        <v>0</v>
      </c>
      <c r="BA100" s="7">
        <v>0</v>
      </c>
      <c r="BB100" s="8">
        <f t="shared" si="78"/>
        <v>0</v>
      </c>
      <c r="BC100" s="7">
        <v>0</v>
      </c>
      <c r="BD100" s="7">
        <v>0</v>
      </c>
      <c r="BE100" s="7">
        <v>0</v>
      </c>
      <c r="BF100" s="7">
        <v>0</v>
      </c>
      <c r="BG100" s="7">
        <v>0</v>
      </c>
      <c r="BH100" s="7">
        <v>0</v>
      </c>
      <c r="BI100" s="7">
        <v>0</v>
      </c>
      <c r="BJ100" s="7">
        <v>0</v>
      </c>
      <c r="BK100" s="7">
        <v>0</v>
      </c>
      <c r="BL100" s="7">
        <v>0</v>
      </c>
      <c r="BM100" s="7">
        <v>0</v>
      </c>
      <c r="BN100" s="7">
        <v>0</v>
      </c>
      <c r="BO100" s="8">
        <f t="shared" si="79"/>
        <v>0</v>
      </c>
      <c r="BP100" s="7">
        <v>0</v>
      </c>
      <c r="BQ100" s="7">
        <v>0</v>
      </c>
      <c r="BR100" s="7">
        <v>0</v>
      </c>
      <c r="BS100" s="7">
        <v>0</v>
      </c>
      <c r="BT100" s="7">
        <v>0</v>
      </c>
      <c r="BU100" s="7">
        <v>0</v>
      </c>
      <c r="BV100" s="7">
        <v>0</v>
      </c>
      <c r="BW100" s="9"/>
      <c r="BX100" s="9"/>
      <c r="BY100" s="9"/>
      <c r="BZ100" s="9"/>
      <c r="CA100" s="9"/>
      <c r="CB100" s="8">
        <f t="shared" si="80"/>
        <v>0</v>
      </c>
    </row>
    <row r="101" spans="2:80" ht="28.05" customHeight="1" x14ac:dyDescent="0.3">
      <c r="B101" s="6" t="s">
        <v>49</v>
      </c>
      <c r="C101" s="9"/>
      <c r="D101" s="9"/>
      <c r="E101" s="9"/>
      <c r="F101" s="9"/>
      <c r="G101" s="9"/>
      <c r="H101" s="9"/>
      <c r="I101" s="9"/>
      <c r="J101" s="9"/>
      <c r="K101" s="9"/>
      <c r="L101" s="9"/>
      <c r="M101" s="9"/>
      <c r="N101" s="9"/>
      <c r="O101" s="8">
        <f t="shared" si="75"/>
        <v>0</v>
      </c>
      <c r="P101" s="9"/>
      <c r="Q101" s="9"/>
      <c r="R101" s="9"/>
      <c r="S101" s="9"/>
      <c r="T101" s="9"/>
      <c r="U101" s="9"/>
      <c r="V101" s="9"/>
      <c r="W101" s="9"/>
      <c r="X101" s="9"/>
      <c r="Y101" s="9"/>
      <c r="Z101" s="9"/>
      <c r="AA101" s="9"/>
      <c r="AB101" s="8">
        <f t="shared" si="76"/>
        <v>0</v>
      </c>
      <c r="AC101" s="9"/>
      <c r="AD101" s="9"/>
      <c r="AE101" s="9"/>
      <c r="AF101" s="9"/>
      <c r="AG101" s="9"/>
      <c r="AH101" s="9"/>
      <c r="AI101" s="9"/>
      <c r="AJ101" s="9"/>
      <c r="AK101" s="9"/>
      <c r="AL101" s="9"/>
      <c r="AM101" s="9"/>
      <c r="AN101" s="9"/>
      <c r="AO101" s="8">
        <f t="shared" si="77"/>
        <v>0</v>
      </c>
      <c r="AP101" s="7">
        <v>0</v>
      </c>
      <c r="AQ101" s="7">
        <v>0</v>
      </c>
      <c r="AR101" s="7">
        <v>0</v>
      </c>
      <c r="AS101" s="7">
        <v>0</v>
      </c>
      <c r="AT101" s="7">
        <v>0</v>
      </c>
      <c r="AU101" s="7">
        <v>0</v>
      </c>
      <c r="AV101" s="7">
        <v>0</v>
      </c>
      <c r="AW101" s="7">
        <v>0</v>
      </c>
      <c r="AX101" s="7">
        <v>0</v>
      </c>
      <c r="AY101" s="7">
        <v>0</v>
      </c>
      <c r="AZ101" s="7">
        <v>0</v>
      </c>
      <c r="BA101" s="7">
        <v>0</v>
      </c>
      <c r="BB101" s="8">
        <f t="shared" si="78"/>
        <v>0</v>
      </c>
      <c r="BC101" s="7">
        <v>0</v>
      </c>
      <c r="BD101" s="7">
        <v>0</v>
      </c>
      <c r="BE101" s="7">
        <v>0</v>
      </c>
      <c r="BF101" s="7">
        <v>0</v>
      </c>
      <c r="BG101" s="7">
        <v>0</v>
      </c>
      <c r="BH101" s="7">
        <v>0</v>
      </c>
      <c r="BI101" s="7">
        <v>0</v>
      </c>
      <c r="BJ101" s="7">
        <v>0</v>
      </c>
      <c r="BK101" s="7">
        <v>0</v>
      </c>
      <c r="BL101" s="7">
        <v>0</v>
      </c>
      <c r="BM101" s="7">
        <v>0</v>
      </c>
      <c r="BN101" s="7">
        <v>0</v>
      </c>
      <c r="BO101" s="8">
        <f t="shared" si="79"/>
        <v>0</v>
      </c>
      <c r="BP101" s="7">
        <v>0</v>
      </c>
      <c r="BQ101" s="7">
        <v>0</v>
      </c>
      <c r="BR101" s="7">
        <v>0</v>
      </c>
      <c r="BS101" s="7">
        <v>0</v>
      </c>
      <c r="BT101" s="7">
        <v>0</v>
      </c>
      <c r="BU101" s="7">
        <v>0</v>
      </c>
      <c r="BV101" s="7">
        <v>0</v>
      </c>
      <c r="BW101" s="9"/>
      <c r="BX101" s="9"/>
      <c r="BY101" s="9"/>
      <c r="BZ101" s="9"/>
      <c r="CA101" s="9"/>
      <c r="CB101" s="8">
        <f t="shared" si="80"/>
        <v>0</v>
      </c>
    </row>
    <row r="102" spans="2:80" ht="28.05" customHeight="1" x14ac:dyDescent="0.3">
      <c r="B102" s="6" t="s">
        <v>50</v>
      </c>
      <c r="C102" s="9"/>
      <c r="D102" s="9"/>
      <c r="E102" s="9"/>
      <c r="F102" s="9"/>
      <c r="G102" s="9"/>
      <c r="H102" s="9"/>
      <c r="I102" s="9"/>
      <c r="J102" s="9"/>
      <c r="K102" s="9"/>
      <c r="L102" s="9"/>
      <c r="M102" s="9"/>
      <c r="N102" s="9"/>
      <c r="O102" s="8">
        <f t="shared" si="75"/>
        <v>0</v>
      </c>
      <c r="P102" s="9"/>
      <c r="Q102" s="9"/>
      <c r="R102" s="9"/>
      <c r="S102" s="9"/>
      <c r="T102" s="9"/>
      <c r="U102" s="9"/>
      <c r="V102" s="9"/>
      <c r="W102" s="9"/>
      <c r="X102" s="9"/>
      <c r="Y102" s="9"/>
      <c r="Z102" s="9"/>
      <c r="AA102" s="9"/>
      <c r="AB102" s="8">
        <f t="shared" si="76"/>
        <v>0</v>
      </c>
      <c r="AC102" s="9"/>
      <c r="AD102" s="9"/>
      <c r="AE102" s="9"/>
      <c r="AF102" s="9"/>
      <c r="AG102" s="9"/>
      <c r="AH102" s="9"/>
      <c r="AI102" s="9"/>
      <c r="AJ102" s="9"/>
      <c r="AK102" s="9"/>
      <c r="AL102" s="9"/>
      <c r="AM102" s="9"/>
      <c r="AN102" s="9"/>
      <c r="AO102" s="8">
        <f t="shared" si="77"/>
        <v>0</v>
      </c>
      <c r="AP102" s="7">
        <v>0</v>
      </c>
      <c r="AQ102" s="7">
        <v>0</v>
      </c>
      <c r="AR102" s="7">
        <v>0</v>
      </c>
      <c r="AS102" s="7">
        <v>0</v>
      </c>
      <c r="AT102" s="7">
        <v>0</v>
      </c>
      <c r="AU102" s="7">
        <v>0</v>
      </c>
      <c r="AV102" s="7">
        <v>0</v>
      </c>
      <c r="AW102" s="7">
        <v>0</v>
      </c>
      <c r="AX102" s="7">
        <v>0</v>
      </c>
      <c r="AY102" s="7">
        <v>0</v>
      </c>
      <c r="AZ102" s="7">
        <v>0</v>
      </c>
      <c r="BA102" s="7">
        <v>0</v>
      </c>
      <c r="BB102" s="8">
        <f t="shared" si="78"/>
        <v>0</v>
      </c>
      <c r="BC102" s="7">
        <v>0</v>
      </c>
      <c r="BD102" s="7">
        <v>0</v>
      </c>
      <c r="BE102" s="7">
        <v>0</v>
      </c>
      <c r="BF102" s="7">
        <v>0</v>
      </c>
      <c r="BG102" s="7">
        <v>0</v>
      </c>
      <c r="BH102" s="7">
        <v>0</v>
      </c>
      <c r="BI102" s="7">
        <v>0</v>
      </c>
      <c r="BJ102" s="7">
        <v>0</v>
      </c>
      <c r="BK102" s="7">
        <v>0</v>
      </c>
      <c r="BL102" s="7">
        <v>0</v>
      </c>
      <c r="BM102" s="7">
        <v>0</v>
      </c>
      <c r="BN102" s="7">
        <v>0</v>
      </c>
      <c r="BO102" s="8">
        <f t="shared" si="79"/>
        <v>0</v>
      </c>
      <c r="BP102" s="7">
        <v>0</v>
      </c>
      <c r="BQ102" s="7">
        <v>0</v>
      </c>
      <c r="BR102" s="7">
        <v>0</v>
      </c>
      <c r="BS102" s="7">
        <v>0</v>
      </c>
      <c r="BT102" s="7">
        <v>0</v>
      </c>
      <c r="BU102" s="7">
        <v>0</v>
      </c>
      <c r="BV102" s="7">
        <v>0</v>
      </c>
      <c r="BW102" s="9"/>
      <c r="BX102" s="9"/>
      <c r="BY102" s="9"/>
      <c r="BZ102" s="9"/>
      <c r="CA102" s="9"/>
      <c r="CB102" s="8">
        <f t="shared" si="80"/>
        <v>0</v>
      </c>
    </row>
    <row r="103" spans="2:80" ht="28.05" customHeight="1" x14ac:dyDescent="0.3">
      <c r="B103" s="6" t="s">
        <v>51</v>
      </c>
      <c r="C103" s="9"/>
      <c r="D103" s="9"/>
      <c r="E103" s="9"/>
      <c r="F103" s="9"/>
      <c r="G103" s="9"/>
      <c r="H103" s="9"/>
      <c r="I103" s="9"/>
      <c r="J103" s="9"/>
      <c r="K103" s="9"/>
      <c r="L103" s="9"/>
      <c r="M103" s="9"/>
      <c r="N103" s="9"/>
      <c r="O103" s="8">
        <f t="shared" si="75"/>
        <v>0</v>
      </c>
      <c r="P103" s="9"/>
      <c r="Q103" s="9"/>
      <c r="R103" s="9"/>
      <c r="S103" s="9"/>
      <c r="T103" s="9"/>
      <c r="U103" s="9"/>
      <c r="V103" s="9"/>
      <c r="W103" s="9"/>
      <c r="X103" s="9"/>
      <c r="Y103" s="9"/>
      <c r="Z103" s="9"/>
      <c r="AA103" s="9"/>
      <c r="AB103" s="8">
        <f t="shared" si="76"/>
        <v>0</v>
      </c>
      <c r="AC103" s="9"/>
      <c r="AD103" s="9"/>
      <c r="AE103" s="9"/>
      <c r="AF103" s="9"/>
      <c r="AG103" s="9"/>
      <c r="AH103" s="9"/>
      <c r="AI103" s="9"/>
      <c r="AJ103" s="9"/>
      <c r="AK103" s="9"/>
      <c r="AL103" s="9"/>
      <c r="AM103" s="9"/>
      <c r="AN103" s="9"/>
      <c r="AO103" s="8">
        <f t="shared" si="77"/>
        <v>0</v>
      </c>
      <c r="AP103" s="7">
        <v>0</v>
      </c>
      <c r="AQ103" s="7">
        <v>0</v>
      </c>
      <c r="AR103" s="7">
        <v>0</v>
      </c>
      <c r="AS103" s="7">
        <v>0</v>
      </c>
      <c r="AT103" s="7">
        <v>0</v>
      </c>
      <c r="AU103" s="7">
        <v>0</v>
      </c>
      <c r="AV103" s="7">
        <v>0</v>
      </c>
      <c r="AW103" s="7">
        <v>0</v>
      </c>
      <c r="AX103" s="7">
        <v>0</v>
      </c>
      <c r="AY103" s="7">
        <v>0</v>
      </c>
      <c r="AZ103" s="7">
        <v>0</v>
      </c>
      <c r="BA103" s="7">
        <v>0</v>
      </c>
      <c r="BB103" s="8">
        <f t="shared" si="78"/>
        <v>0</v>
      </c>
      <c r="BC103" s="7">
        <v>0</v>
      </c>
      <c r="BD103" s="7">
        <v>0</v>
      </c>
      <c r="BE103" s="7">
        <v>0</v>
      </c>
      <c r="BF103" s="7">
        <v>0</v>
      </c>
      <c r="BG103" s="7">
        <v>0</v>
      </c>
      <c r="BH103" s="7">
        <v>0</v>
      </c>
      <c r="BI103" s="7">
        <v>0</v>
      </c>
      <c r="BJ103" s="7">
        <v>0</v>
      </c>
      <c r="BK103" s="7">
        <v>0</v>
      </c>
      <c r="BL103" s="7">
        <v>0</v>
      </c>
      <c r="BM103" s="7">
        <v>0</v>
      </c>
      <c r="BN103" s="7">
        <v>0</v>
      </c>
      <c r="BO103" s="8">
        <f t="shared" si="79"/>
        <v>0</v>
      </c>
      <c r="BP103" s="7">
        <v>0</v>
      </c>
      <c r="BQ103" s="7">
        <v>0</v>
      </c>
      <c r="BR103" s="7">
        <v>0</v>
      </c>
      <c r="BS103" s="7">
        <v>0</v>
      </c>
      <c r="BT103" s="7">
        <v>0</v>
      </c>
      <c r="BU103" s="7">
        <v>0</v>
      </c>
      <c r="BV103" s="7">
        <v>0</v>
      </c>
      <c r="BW103" s="9"/>
      <c r="BX103" s="9"/>
      <c r="BY103" s="9"/>
      <c r="BZ103" s="9"/>
      <c r="CA103" s="9"/>
      <c r="CB103" s="8">
        <f t="shared" si="80"/>
        <v>0</v>
      </c>
    </row>
    <row r="104" spans="2:80" ht="22.05" customHeight="1" x14ac:dyDescent="0.3">
      <c r="B104" s="3" t="s">
        <v>87</v>
      </c>
      <c r="C104" s="10">
        <f t="shared" ref="C104:AH104" si="81">SUM(C98:C103)</f>
        <v>0</v>
      </c>
      <c r="D104" s="10">
        <f t="shared" si="81"/>
        <v>0</v>
      </c>
      <c r="E104" s="10">
        <f t="shared" si="81"/>
        <v>0</v>
      </c>
      <c r="F104" s="10">
        <f t="shared" si="81"/>
        <v>0</v>
      </c>
      <c r="G104" s="10">
        <f t="shared" si="81"/>
        <v>0</v>
      </c>
      <c r="H104" s="10">
        <f t="shared" si="81"/>
        <v>0</v>
      </c>
      <c r="I104" s="10">
        <f t="shared" si="81"/>
        <v>0</v>
      </c>
      <c r="J104" s="10">
        <f t="shared" si="81"/>
        <v>0</v>
      </c>
      <c r="K104" s="10">
        <f t="shared" si="81"/>
        <v>0</v>
      </c>
      <c r="L104" s="10">
        <f t="shared" si="81"/>
        <v>0</v>
      </c>
      <c r="M104" s="10">
        <f t="shared" si="81"/>
        <v>0</v>
      </c>
      <c r="N104" s="10">
        <f t="shared" si="81"/>
        <v>0</v>
      </c>
      <c r="O104" s="10">
        <f t="shared" si="81"/>
        <v>0</v>
      </c>
      <c r="P104" s="10">
        <f t="shared" si="81"/>
        <v>0</v>
      </c>
      <c r="Q104" s="10">
        <f t="shared" si="81"/>
        <v>0</v>
      </c>
      <c r="R104" s="10">
        <f t="shared" si="81"/>
        <v>0</v>
      </c>
      <c r="S104" s="10">
        <f t="shared" si="81"/>
        <v>0</v>
      </c>
      <c r="T104" s="10">
        <f t="shared" si="81"/>
        <v>0</v>
      </c>
      <c r="U104" s="10">
        <f t="shared" si="81"/>
        <v>0</v>
      </c>
      <c r="V104" s="10">
        <f t="shared" si="81"/>
        <v>0</v>
      </c>
      <c r="W104" s="10">
        <f t="shared" si="81"/>
        <v>0</v>
      </c>
      <c r="X104" s="10">
        <f t="shared" si="81"/>
        <v>0</v>
      </c>
      <c r="Y104" s="10">
        <f t="shared" si="81"/>
        <v>0</v>
      </c>
      <c r="Z104" s="10">
        <f t="shared" si="81"/>
        <v>0</v>
      </c>
      <c r="AA104" s="10">
        <f t="shared" si="81"/>
        <v>0</v>
      </c>
      <c r="AB104" s="10">
        <f t="shared" si="81"/>
        <v>0</v>
      </c>
      <c r="AC104" s="10">
        <f t="shared" si="81"/>
        <v>17877772</v>
      </c>
      <c r="AD104" s="10">
        <f t="shared" si="81"/>
        <v>17877772</v>
      </c>
      <c r="AE104" s="10">
        <f t="shared" si="81"/>
        <v>17877772</v>
      </c>
      <c r="AF104" s="10">
        <f t="shared" si="81"/>
        <v>17877772</v>
      </c>
      <c r="AG104" s="10">
        <f t="shared" si="81"/>
        <v>17877772</v>
      </c>
      <c r="AH104" s="10">
        <f t="shared" si="81"/>
        <v>17877772</v>
      </c>
      <c r="AI104" s="10">
        <f t="shared" ref="AI104:BN104" si="82">SUM(AI98:AI103)</f>
        <v>17877772</v>
      </c>
      <c r="AJ104" s="10">
        <f t="shared" si="82"/>
        <v>17772523</v>
      </c>
      <c r="AK104" s="10">
        <f t="shared" si="82"/>
        <v>17772523</v>
      </c>
      <c r="AL104" s="10">
        <f t="shared" si="82"/>
        <v>17772523</v>
      </c>
      <c r="AM104" s="10">
        <f t="shared" si="82"/>
        <v>10123523</v>
      </c>
      <c r="AN104" s="10">
        <f t="shared" si="82"/>
        <v>10123523</v>
      </c>
      <c r="AO104" s="10">
        <f t="shared" si="82"/>
        <v>10123523</v>
      </c>
      <c r="AP104" s="10">
        <f t="shared" si="82"/>
        <v>0</v>
      </c>
      <c r="AQ104" s="10">
        <f t="shared" si="82"/>
        <v>0</v>
      </c>
      <c r="AR104" s="10">
        <f t="shared" si="82"/>
        <v>0</v>
      </c>
      <c r="AS104" s="10">
        <f t="shared" si="82"/>
        <v>0</v>
      </c>
      <c r="AT104" s="10">
        <f t="shared" si="82"/>
        <v>0</v>
      </c>
      <c r="AU104" s="10">
        <f t="shared" si="82"/>
        <v>0</v>
      </c>
      <c r="AV104" s="10">
        <f t="shared" si="82"/>
        <v>0</v>
      </c>
      <c r="AW104" s="10">
        <f t="shared" si="82"/>
        <v>0</v>
      </c>
      <c r="AX104" s="10">
        <f t="shared" si="82"/>
        <v>0</v>
      </c>
      <c r="AY104" s="10">
        <f t="shared" si="82"/>
        <v>0</v>
      </c>
      <c r="AZ104" s="10">
        <f t="shared" si="82"/>
        <v>0</v>
      </c>
      <c r="BA104" s="10">
        <f t="shared" si="82"/>
        <v>0</v>
      </c>
      <c r="BB104" s="10">
        <f t="shared" si="82"/>
        <v>0</v>
      </c>
      <c r="BC104" s="10">
        <f t="shared" si="82"/>
        <v>0</v>
      </c>
      <c r="BD104" s="10">
        <f t="shared" si="82"/>
        <v>0</v>
      </c>
      <c r="BE104" s="10">
        <f t="shared" si="82"/>
        <v>0</v>
      </c>
      <c r="BF104" s="10">
        <f t="shared" si="82"/>
        <v>0</v>
      </c>
      <c r="BG104" s="10">
        <f t="shared" si="82"/>
        <v>0</v>
      </c>
      <c r="BH104" s="10">
        <f t="shared" si="82"/>
        <v>0</v>
      </c>
      <c r="BI104" s="10">
        <f t="shared" si="82"/>
        <v>0</v>
      </c>
      <c r="BJ104" s="10">
        <f t="shared" si="82"/>
        <v>0</v>
      </c>
      <c r="BK104" s="10">
        <f t="shared" si="82"/>
        <v>0</v>
      </c>
      <c r="BL104" s="10">
        <f t="shared" si="82"/>
        <v>0</v>
      </c>
      <c r="BM104" s="10">
        <f t="shared" si="82"/>
        <v>0</v>
      </c>
      <c r="BN104" s="10">
        <f t="shared" si="82"/>
        <v>0</v>
      </c>
      <c r="BO104" s="10">
        <f t="shared" ref="BO104:CB104" si="83">SUM(BO98:BO103)</f>
        <v>0</v>
      </c>
      <c r="BP104" s="10">
        <f t="shared" si="83"/>
        <v>0</v>
      </c>
      <c r="BQ104" s="10">
        <f t="shared" si="83"/>
        <v>0</v>
      </c>
      <c r="BR104" s="10">
        <f t="shared" si="83"/>
        <v>0</v>
      </c>
      <c r="BS104" s="10">
        <f t="shared" si="83"/>
        <v>0</v>
      </c>
      <c r="BT104" s="10">
        <f t="shared" si="83"/>
        <v>0</v>
      </c>
      <c r="BU104" s="10">
        <f t="shared" si="83"/>
        <v>0</v>
      </c>
      <c r="BV104" s="10">
        <f t="shared" si="83"/>
        <v>0</v>
      </c>
      <c r="BW104" s="10">
        <f t="shared" si="83"/>
        <v>0</v>
      </c>
      <c r="BX104" s="10">
        <f t="shared" si="83"/>
        <v>0</v>
      </c>
      <c r="BY104" s="10">
        <f t="shared" si="83"/>
        <v>0</v>
      </c>
      <c r="BZ104" s="10">
        <f t="shared" si="83"/>
        <v>0</v>
      </c>
      <c r="CA104" s="10">
        <f t="shared" si="83"/>
        <v>0</v>
      </c>
      <c r="CB104" s="10">
        <f t="shared" si="83"/>
        <v>0</v>
      </c>
    </row>
    <row r="105" spans="2:80" x14ac:dyDescent="0.3">
      <c r="B105" s="58" t="s">
        <v>99</v>
      </c>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row>
    <row r="107" spans="2:80" ht="16.05" customHeight="1" x14ac:dyDescent="0.3">
      <c r="B107" s="62" t="s">
        <v>101</v>
      </c>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row>
    <row r="108" spans="2:80" ht="22.05" customHeight="1" x14ac:dyDescent="0.3">
      <c r="B108" s="2"/>
      <c r="C108" s="60">
        <v>2021</v>
      </c>
      <c r="D108" s="61"/>
      <c r="E108" s="61"/>
      <c r="F108" s="61"/>
      <c r="G108" s="61"/>
      <c r="H108" s="61"/>
      <c r="I108" s="61"/>
      <c r="J108" s="61"/>
      <c r="K108" s="61"/>
      <c r="L108" s="61"/>
      <c r="M108" s="61"/>
      <c r="N108" s="61"/>
      <c r="O108" s="61"/>
      <c r="P108" s="60">
        <v>2022</v>
      </c>
      <c r="Q108" s="61"/>
      <c r="R108" s="61"/>
      <c r="S108" s="61"/>
      <c r="T108" s="61"/>
      <c r="U108" s="61"/>
      <c r="V108" s="61"/>
      <c r="W108" s="61"/>
      <c r="X108" s="61"/>
      <c r="Y108" s="61"/>
      <c r="Z108" s="61"/>
      <c r="AA108" s="61"/>
      <c r="AB108" s="61"/>
      <c r="AC108" s="60">
        <v>2023</v>
      </c>
      <c r="AD108" s="61"/>
      <c r="AE108" s="61"/>
      <c r="AF108" s="61"/>
      <c r="AG108" s="61"/>
      <c r="AH108" s="61"/>
      <c r="AI108" s="61"/>
      <c r="AJ108" s="61"/>
      <c r="AK108" s="61"/>
      <c r="AL108" s="61"/>
      <c r="AM108" s="61"/>
      <c r="AN108" s="61"/>
      <c r="AO108" s="61"/>
      <c r="AP108" s="60">
        <v>2024</v>
      </c>
      <c r="AQ108" s="61"/>
      <c r="AR108" s="61"/>
      <c r="AS108" s="61"/>
      <c r="AT108" s="61"/>
      <c r="AU108" s="61"/>
      <c r="AV108" s="61"/>
      <c r="AW108" s="61"/>
      <c r="AX108" s="61"/>
      <c r="AY108" s="61"/>
      <c r="AZ108" s="61"/>
      <c r="BA108" s="61"/>
      <c r="BB108" s="61"/>
      <c r="BC108" s="60">
        <v>2025</v>
      </c>
      <c r="BD108" s="61"/>
      <c r="BE108" s="61"/>
      <c r="BF108" s="61"/>
      <c r="BG108" s="61"/>
      <c r="BH108" s="61"/>
      <c r="BI108" s="61"/>
      <c r="BJ108" s="61"/>
      <c r="BK108" s="61"/>
      <c r="BL108" s="61"/>
      <c r="BM108" s="61"/>
      <c r="BN108" s="61"/>
      <c r="BO108" s="61"/>
      <c r="BP108" s="60">
        <v>2026</v>
      </c>
      <c r="BQ108" s="61"/>
      <c r="BR108" s="61"/>
      <c r="BS108" s="61"/>
      <c r="BT108" s="61"/>
      <c r="BU108" s="61"/>
      <c r="BV108" s="61"/>
      <c r="BW108" s="61"/>
      <c r="BX108" s="61"/>
      <c r="BY108" s="61"/>
      <c r="BZ108" s="61"/>
      <c r="CA108" s="61"/>
      <c r="CB108" s="61"/>
    </row>
    <row r="109" spans="2:80" ht="28.05" customHeight="1" x14ac:dyDescent="0.3">
      <c r="B109" s="3" t="s">
        <v>80</v>
      </c>
      <c r="C109" s="4" t="s">
        <v>55</v>
      </c>
      <c r="D109" s="4" t="s">
        <v>56</v>
      </c>
      <c r="E109" s="4" t="s">
        <v>57</v>
      </c>
      <c r="F109" s="4" t="s">
        <v>58</v>
      </c>
      <c r="G109" s="4" t="s">
        <v>59</v>
      </c>
      <c r="H109" s="4" t="s">
        <v>60</v>
      </c>
      <c r="I109" s="4" t="s">
        <v>61</v>
      </c>
      <c r="J109" s="4" t="s">
        <v>62</v>
      </c>
      <c r="K109" s="4" t="s">
        <v>63</v>
      </c>
      <c r="L109" s="4" t="s">
        <v>64</v>
      </c>
      <c r="M109" s="4" t="s">
        <v>65</v>
      </c>
      <c r="N109" s="4" t="s">
        <v>66</v>
      </c>
      <c r="O109" s="5" t="s">
        <v>81</v>
      </c>
      <c r="P109" s="4" t="s">
        <v>55</v>
      </c>
      <c r="Q109" s="4" t="s">
        <v>56</v>
      </c>
      <c r="R109" s="4" t="s">
        <v>57</v>
      </c>
      <c r="S109" s="4" t="s">
        <v>58</v>
      </c>
      <c r="T109" s="4" t="s">
        <v>59</v>
      </c>
      <c r="U109" s="4" t="s">
        <v>60</v>
      </c>
      <c r="V109" s="4" t="s">
        <v>61</v>
      </c>
      <c r="W109" s="4" t="s">
        <v>62</v>
      </c>
      <c r="X109" s="4" t="s">
        <v>63</v>
      </c>
      <c r="Y109" s="4" t="s">
        <v>64</v>
      </c>
      <c r="Z109" s="4" t="s">
        <v>65</v>
      </c>
      <c r="AA109" s="4" t="s">
        <v>66</v>
      </c>
      <c r="AB109" s="5" t="s">
        <v>82</v>
      </c>
      <c r="AC109" s="4" t="s">
        <v>55</v>
      </c>
      <c r="AD109" s="4" t="s">
        <v>56</v>
      </c>
      <c r="AE109" s="4" t="s">
        <v>57</v>
      </c>
      <c r="AF109" s="4" t="s">
        <v>58</v>
      </c>
      <c r="AG109" s="4" t="s">
        <v>59</v>
      </c>
      <c r="AH109" s="4" t="s">
        <v>60</v>
      </c>
      <c r="AI109" s="4" t="s">
        <v>61</v>
      </c>
      <c r="AJ109" s="4" t="s">
        <v>62</v>
      </c>
      <c r="AK109" s="4" t="s">
        <v>63</v>
      </c>
      <c r="AL109" s="4" t="s">
        <v>64</v>
      </c>
      <c r="AM109" s="4" t="s">
        <v>65</v>
      </c>
      <c r="AN109" s="4" t="s">
        <v>66</v>
      </c>
      <c r="AO109" s="5" t="s">
        <v>83</v>
      </c>
      <c r="AP109" s="4" t="s">
        <v>55</v>
      </c>
      <c r="AQ109" s="4" t="s">
        <v>56</v>
      </c>
      <c r="AR109" s="4" t="s">
        <v>57</v>
      </c>
      <c r="AS109" s="4" t="s">
        <v>58</v>
      </c>
      <c r="AT109" s="4" t="s">
        <v>59</v>
      </c>
      <c r="AU109" s="4" t="s">
        <v>60</v>
      </c>
      <c r="AV109" s="4" t="s">
        <v>61</v>
      </c>
      <c r="AW109" s="4" t="s">
        <v>62</v>
      </c>
      <c r="AX109" s="4" t="s">
        <v>63</v>
      </c>
      <c r="AY109" s="4" t="s">
        <v>64</v>
      </c>
      <c r="AZ109" s="4" t="s">
        <v>65</v>
      </c>
      <c r="BA109" s="4" t="s">
        <v>66</v>
      </c>
      <c r="BB109" s="5" t="s">
        <v>84</v>
      </c>
      <c r="BC109" s="4" t="s">
        <v>55</v>
      </c>
      <c r="BD109" s="4" t="s">
        <v>56</v>
      </c>
      <c r="BE109" s="4" t="s">
        <v>57</v>
      </c>
      <c r="BF109" s="4" t="s">
        <v>58</v>
      </c>
      <c r="BG109" s="4" t="s">
        <v>59</v>
      </c>
      <c r="BH109" s="4" t="s">
        <v>60</v>
      </c>
      <c r="BI109" s="4" t="s">
        <v>61</v>
      </c>
      <c r="BJ109" s="4" t="s">
        <v>62</v>
      </c>
      <c r="BK109" s="4" t="s">
        <v>63</v>
      </c>
      <c r="BL109" s="4" t="s">
        <v>64</v>
      </c>
      <c r="BM109" s="4" t="s">
        <v>65</v>
      </c>
      <c r="BN109" s="4" t="s">
        <v>66</v>
      </c>
      <c r="BO109" s="5" t="s">
        <v>85</v>
      </c>
      <c r="BP109" s="4" t="s">
        <v>55</v>
      </c>
      <c r="BQ109" s="4" t="s">
        <v>56</v>
      </c>
      <c r="BR109" s="4" t="s">
        <v>57</v>
      </c>
      <c r="BS109" s="4" t="s">
        <v>58</v>
      </c>
      <c r="BT109" s="4" t="s">
        <v>59</v>
      </c>
      <c r="BU109" s="4" t="s">
        <v>60</v>
      </c>
      <c r="BV109" s="4" t="s">
        <v>61</v>
      </c>
      <c r="BW109" s="4" t="s">
        <v>62</v>
      </c>
      <c r="BX109" s="4" t="s">
        <v>63</v>
      </c>
      <c r="BY109" s="4" t="s">
        <v>64</v>
      </c>
      <c r="BZ109" s="4" t="s">
        <v>65</v>
      </c>
      <c r="CA109" s="4" t="s">
        <v>66</v>
      </c>
      <c r="CB109" s="5" t="s">
        <v>86</v>
      </c>
    </row>
    <row r="110" spans="2:80" ht="28.05" customHeight="1" x14ac:dyDescent="0.3">
      <c r="B110" s="6" t="s">
        <v>46</v>
      </c>
      <c r="C110" s="9"/>
      <c r="D110" s="9"/>
      <c r="E110" s="9"/>
      <c r="F110" s="9"/>
      <c r="G110" s="9"/>
      <c r="H110" s="9"/>
      <c r="I110" s="9"/>
      <c r="J110" s="9"/>
      <c r="K110" s="9"/>
      <c r="L110" s="9"/>
      <c r="M110" s="9"/>
      <c r="N110" s="9"/>
      <c r="O110" s="8">
        <f t="shared" ref="O110:O115" si="84">N110</f>
        <v>0</v>
      </c>
      <c r="P110" s="9"/>
      <c r="Q110" s="9"/>
      <c r="R110" s="9"/>
      <c r="S110" s="9"/>
      <c r="T110" s="9"/>
      <c r="U110" s="9"/>
      <c r="V110" s="9"/>
      <c r="W110" s="9"/>
      <c r="X110" s="9"/>
      <c r="Y110" s="9"/>
      <c r="Z110" s="9"/>
      <c r="AA110" s="9"/>
      <c r="AB110" s="8">
        <f t="shared" ref="AB110:AB115" si="85">AA110</f>
        <v>0</v>
      </c>
      <c r="AC110" s="9"/>
      <c r="AD110" s="9"/>
      <c r="AE110" s="9"/>
      <c r="AF110" s="9"/>
      <c r="AG110" s="9"/>
      <c r="AH110" s="9"/>
      <c r="AI110" s="9"/>
      <c r="AJ110" s="9"/>
      <c r="AK110" s="9"/>
      <c r="AL110" s="9"/>
      <c r="AM110" s="9"/>
      <c r="AN110" s="9"/>
      <c r="AO110" s="8">
        <f t="shared" ref="AO110:AO115" si="86">AN110</f>
        <v>0</v>
      </c>
      <c r="AP110" s="7">
        <v>0</v>
      </c>
      <c r="AQ110" s="7">
        <v>0</v>
      </c>
      <c r="AR110" s="7">
        <v>0</v>
      </c>
      <c r="AS110" s="7">
        <v>0</v>
      </c>
      <c r="AT110" s="7">
        <v>0</v>
      </c>
      <c r="AU110" s="7">
        <v>0</v>
      </c>
      <c r="AV110" s="7">
        <v>0</v>
      </c>
      <c r="AW110" s="7">
        <v>0</v>
      </c>
      <c r="AX110" s="7">
        <v>0</v>
      </c>
      <c r="AY110" s="7">
        <v>0</v>
      </c>
      <c r="AZ110" s="7">
        <v>0</v>
      </c>
      <c r="BA110" s="7">
        <v>0</v>
      </c>
      <c r="BB110" s="8">
        <f t="shared" ref="BB110:BB115" si="87">BA110</f>
        <v>0</v>
      </c>
      <c r="BC110" s="7">
        <v>0</v>
      </c>
      <c r="BD110" s="7">
        <v>0</v>
      </c>
      <c r="BE110" s="7">
        <v>0</v>
      </c>
      <c r="BF110" s="7">
        <v>0</v>
      </c>
      <c r="BG110" s="7">
        <v>0</v>
      </c>
      <c r="BH110" s="7">
        <v>0</v>
      </c>
      <c r="BI110" s="7">
        <v>0</v>
      </c>
      <c r="BJ110" s="7">
        <v>0</v>
      </c>
      <c r="BK110" s="7">
        <v>0</v>
      </c>
      <c r="BL110" s="7">
        <v>0</v>
      </c>
      <c r="BM110" s="7">
        <v>0</v>
      </c>
      <c r="BN110" s="7">
        <v>0</v>
      </c>
      <c r="BO110" s="8">
        <f t="shared" ref="BO110:BO115" si="88">BN110</f>
        <v>0</v>
      </c>
      <c r="BP110" s="7">
        <v>0</v>
      </c>
      <c r="BQ110" s="7">
        <v>0</v>
      </c>
      <c r="BR110" s="7">
        <v>0</v>
      </c>
      <c r="BS110" s="7">
        <v>0</v>
      </c>
      <c r="BT110" s="7">
        <v>0</v>
      </c>
      <c r="BU110" s="7">
        <v>0</v>
      </c>
      <c r="BV110" s="7">
        <v>0</v>
      </c>
      <c r="BW110" s="9"/>
      <c r="BX110" s="9"/>
      <c r="BY110" s="9"/>
      <c r="BZ110" s="9"/>
      <c r="CA110" s="9"/>
      <c r="CB110" s="8">
        <f t="shared" ref="CB110:CB115" si="89">BV110</f>
        <v>0</v>
      </c>
    </row>
    <row r="111" spans="2:80" ht="28.05" customHeight="1" x14ac:dyDescent="0.3">
      <c r="B111" s="6" t="s">
        <v>47</v>
      </c>
      <c r="C111" s="9"/>
      <c r="D111" s="9"/>
      <c r="E111" s="9"/>
      <c r="F111" s="9"/>
      <c r="G111" s="9"/>
      <c r="H111" s="9"/>
      <c r="I111" s="9"/>
      <c r="J111" s="9"/>
      <c r="K111" s="9"/>
      <c r="L111" s="9"/>
      <c r="M111" s="9"/>
      <c r="N111" s="9"/>
      <c r="O111" s="8">
        <f t="shared" si="84"/>
        <v>0</v>
      </c>
      <c r="P111" s="9"/>
      <c r="Q111" s="9"/>
      <c r="R111" s="9"/>
      <c r="S111" s="9"/>
      <c r="T111" s="9"/>
      <c r="U111" s="9"/>
      <c r="V111" s="9"/>
      <c r="W111" s="9"/>
      <c r="X111" s="9"/>
      <c r="Y111" s="9"/>
      <c r="Z111" s="9"/>
      <c r="AA111" s="9"/>
      <c r="AB111" s="8">
        <f t="shared" si="85"/>
        <v>0</v>
      </c>
      <c r="AC111" s="9"/>
      <c r="AD111" s="9"/>
      <c r="AE111" s="9"/>
      <c r="AF111" s="9"/>
      <c r="AG111" s="9"/>
      <c r="AH111" s="9"/>
      <c r="AI111" s="9"/>
      <c r="AJ111" s="9"/>
      <c r="AK111" s="9"/>
      <c r="AL111" s="9"/>
      <c r="AM111" s="9"/>
      <c r="AN111" s="9"/>
      <c r="AO111" s="8">
        <f t="shared" si="86"/>
        <v>0</v>
      </c>
      <c r="AP111" s="7">
        <v>0</v>
      </c>
      <c r="AQ111" s="7">
        <v>0</v>
      </c>
      <c r="AR111" s="7">
        <v>0</v>
      </c>
      <c r="AS111" s="7">
        <v>0</v>
      </c>
      <c r="AT111" s="7">
        <v>0</v>
      </c>
      <c r="AU111" s="7">
        <v>0</v>
      </c>
      <c r="AV111" s="7">
        <v>0</v>
      </c>
      <c r="AW111" s="7">
        <v>0</v>
      </c>
      <c r="AX111" s="7">
        <v>0</v>
      </c>
      <c r="AY111" s="7">
        <v>0</v>
      </c>
      <c r="AZ111" s="7">
        <v>0</v>
      </c>
      <c r="BA111" s="7">
        <v>0</v>
      </c>
      <c r="BB111" s="8">
        <f t="shared" si="87"/>
        <v>0</v>
      </c>
      <c r="BC111" s="7">
        <v>0</v>
      </c>
      <c r="BD111" s="7">
        <v>0</v>
      </c>
      <c r="BE111" s="7">
        <v>0</v>
      </c>
      <c r="BF111" s="7">
        <v>0</v>
      </c>
      <c r="BG111" s="7">
        <v>0</v>
      </c>
      <c r="BH111" s="7">
        <v>0</v>
      </c>
      <c r="BI111" s="7">
        <v>0</v>
      </c>
      <c r="BJ111" s="7">
        <v>0</v>
      </c>
      <c r="BK111" s="7">
        <v>0</v>
      </c>
      <c r="BL111" s="7">
        <v>0</v>
      </c>
      <c r="BM111" s="7">
        <v>0</v>
      </c>
      <c r="BN111" s="7">
        <v>0</v>
      </c>
      <c r="BO111" s="8">
        <f t="shared" si="88"/>
        <v>0</v>
      </c>
      <c r="BP111" s="7">
        <v>0</v>
      </c>
      <c r="BQ111" s="7">
        <v>0</v>
      </c>
      <c r="BR111" s="7">
        <v>0</v>
      </c>
      <c r="BS111" s="7">
        <v>0</v>
      </c>
      <c r="BT111" s="7">
        <v>0</v>
      </c>
      <c r="BU111" s="7">
        <v>0</v>
      </c>
      <c r="BV111" s="7">
        <v>0</v>
      </c>
      <c r="BW111" s="9"/>
      <c r="BX111" s="9"/>
      <c r="BY111" s="9"/>
      <c r="BZ111" s="9"/>
      <c r="CA111" s="9"/>
      <c r="CB111" s="8">
        <f t="shared" si="89"/>
        <v>0</v>
      </c>
    </row>
    <row r="112" spans="2:80" ht="28.05" customHeight="1" x14ac:dyDescent="0.3">
      <c r="B112" s="6" t="s">
        <v>48</v>
      </c>
      <c r="C112" s="9"/>
      <c r="D112" s="9"/>
      <c r="E112" s="9"/>
      <c r="F112" s="9"/>
      <c r="G112" s="9"/>
      <c r="H112" s="9"/>
      <c r="I112" s="9"/>
      <c r="J112" s="9"/>
      <c r="K112" s="9"/>
      <c r="L112" s="9"/>
      <c r="M112" s="9"/>
      <c r="N112" s="9"/>
      <c r="O112" s="8">
        <f t="shared" si="84"/>
        <v>0</v>
      </c>
      <c r="P112" s="9"/>
      <c r="Q112" s="9"/>
      <c r="R112" s="9"/>
      <c r="S112" s="9"/>
      <c r="T112" s="9"/>
      <c r="U112" s="9"/>
      <c r="V112" s="9"/>
      <c r="W112" s="9"/>
      <c r="X112" s="9"/>
      <c r="Y112" s="9"/>
      <c r="Z112" s="9"/>
      <c r="AA112" s="9"/>
      <c r="AB112" s="8">
        <f t="shared" si="85"/>
        <v>0</v>
      </c>
      <c r="AC112" s="7">
        <v>0</v>
      </c>
      <c r="AD112" s="7">
        <v>0</v>
      </c>
      <c r="AE112" s="7">
        <v>0</v>
      </c>
      <c r="AF112" s="7">
        <v>0</v>
      </c>
      <c r="AG112" s="7">
        <v>0</v>
      </c>
      <c r="AH112" s="7">
        <v>0</v>
      </c>
      <c r="AI112" s="7">
        <v>1050</v>
      </c>
      <c r="AJ112" s="7">
        <v>1050</v>
      </c>
      <c r="AK112" s="7">
        <v>37795</v>
      </c>
      <c r="AL112" s="7">
        <v>169483</v>
      </c>
      <c r="AM112" s="7">
        <v>843033</v>
      </c>
      <c r="AN112" s="7">
        <v>3861859</v>
      </c>
      <c r="AO112" s="8">
        <f t="shared" si="86"/>
        <v>3861859</v>
      </c>
      <c r="AP112" s="7">
        <v>0</v>
      </c>
      <c r="AQ112" s="7">
        <v>0</v>
      </c>
      <c r="AR112" s="7">
        <v>0</v>
      </c>
      <c r="AS112" s="7">
        <v>0</v>
      </c>
      <c r="AT112" s="7">
        <v>0</v>
      </c>
      <c r="AU112" s="7">
        <v>0</v>
      </c>
      <c r="AV112" s="7">
        <v>0</v>
      </c>
      <c r="AW112" s="7">
        <v>0</v>
      </c>
      <c r="AX112" s="7">
        <v>0</v>
      </c>
      <c r="AY112" s="7">
        <v>0</v>
      </c>
      <c r="AZ112" s="7">
        <v>0</v>
      </c>
      <c r="BA112" s="7">
        <v>0</v>
      </c>
      <c r="BB112" s="8">
        <f t="shared" si="87"/>
        <v>0</v>
      </c>
      <c r="BC112" s="7">
        <v>0</v>
      </c>
      <c r="BD112" s="7">
        <v>0</v>
      </c>
      <c r="BE112" s="7">
        <v>0</v>
      </c>
      <c r="BF112" s="7">
        <v>0</v>
      </c>
      <c r="BG112" s="7">
        <v>0</v>
      </c>
      <c r="BH112" s="7">
        <v>0</v>
      </c>
      <c r="BI112" s="7">
        <v>0</v>
      </c>
      <c r="BJ112" s="7">
        <v>0</v>
      </c>
      <c r="BK112" s="7">
        <v>0</v>
      </c>
      <c r="BL112" s="7">
        <v>0</v>
      </c>
      <c r="BM112" s="7">
        <v>0</v>
      </c>
      <c r="BN112" s="7">
        <v>0</v>
      </c>
      <c r="BO112" s="8">
        <f t="shared" si="88"/>
        <v>0</v>
      </c>
      <c r="BP112" s="7">
        <v>0</v>
      </c>
      <c r="BQ112" s="7">
        <v>0</v>
      </c>
      <c r="BR112" s="7">
        <v>0</v>
      </c>
      <c r="BS112" s="7">
        <v>0</v>
      </c>
      <c r="BT112" s="7">
        <v>0</v>
      </c>
      <c r="BU112" s="7">
        <v>0</v>
      </c>
      <c r="BV112" s="7">
        <v>0</v>
      </c>
      <c r="BW112" s="9"/>
      <c r="BX112" s="9"/>
      <c r="BY112" s="9"/>
      <c r="BZ112" s="9"/>
      <c r="CA112" s="9"/>
      <c r="CB112" s="8">
        <f t="shared" si="89"/>
        <v>0</v>
      </c>
    </row>
    <row r="113" spans="2:80" ht="28.05" customHeight="1" x14ac:dyDescent="0.3">
      <c r="B113" s="6" t="s">
        <v>49</v>
      </c>
      <c r="C113" s="9"/>
      <c r="D113" s="9"/>
      <c r="E113" s="9"/>
      <c r="F113" s="9"/>
      <c r="G113" s="9"/>
      <c r="H113" s="9"/>
      <c r="I113" s="9"/>
      <c r="J113" s="9"/>
      <c r="K113" s="9"/>
      <c r="L113" s="9"/>
      <c r="M113" s="9"/>
      <c r="N113" s="9"/>
      <c r="O113" s="8">
        <f t="shared" si="84"/>
        <v>0</v>
      </c>
      <c r="P113" s="9"/>
      <c r="Q113" s="9"/>
      <c r="R113" s="9"/>
      <c r="S113" s="9"/>
      <c r="T113" s="9"/>
      <c r="U113" s="9"/>
      <c r="V113" s="9"/>
      <c r="W113" s="9"/>
      <c r="X113" s="9"/>
      <c r="Y113" s="9"/>
      <c r="Z113" s="9"/>
      <c r="AA113" s="9"/>
      <c r="AB113" s="8">
        <f t="shared" si="85"/>
        <v>0</v>
      </c>
      <c r="AC113" s="9"/>
      <c r="AD113" s="9"/>
      <c r="AE113" s="9"/>
      <c r="AF113" s="9"/>
      <c r="AG113" s="9"/>
      <c r="AH113" s="9"/>
      <c r="AI113" s="9"/>
      <c r="AJ113" s="9"/>
      <c r="AK113" s="9"/>
      <c r="AL113" s="9"/>
      <c r="AM113" s="9"/>
      <c r="AN113" s="9"/>
      <c r="AO113" s="8">
        <f t="shared" si="86"/>
        <v>0</v>
      </c>
      <c r="AP113" s="7">
        <v>0</v>
      </c>
      <c r="AQ113" s="7">
        <v>0</v>
      </c>
      <c r="AR113" s="7">
        <v>0</v>
      </c>
      <c r="AS113" s="7">
        <v>0</v>
      </c>
      <c r="AT113" s="7">
        <v>0</v>
      </c>
      <c r="AU113" s="7">
        <v>0</v>
      </c>
      <c r="AV113" s="7">
        <v>0</v>
      </c>
      <c r="AW113" s="7">
        <v>0</v>
      </c>
      <c r="AX113" s="7">
        <v>0</v>
      </c>
      <c r="AY113" s="7">
        <v>0</v>
      </c>
      <c r="AZ113" s="7">
        <v>0</v>
      </c>
      <c r="BA113" s="7">
        <v>0</v>
      </c>
      <c r="BB113" s="8">
        <f t="shared" si="87"/>
        <v>0</v>
      </c>
      <c r="BC113" s="7">
        <v>0</v>
      </c>
      <c r="BD113" s="7">
        <v>0</v>
      </c>
      <c r="BE113" s="7">
        <v>0</v>
      </c>
      <c r="BF113" s="7">
        <v>0</v>
      </c>
      <c r="BG113" s="7">
        <v>0</v>
      </c>
      <c r="BH113" s="7">
        <v>0</v>
      </c>
      <c r="BI113" s="7">
        <v>0</v>
      </c>
      <c r="BJ113" s="7">
        <v>0</v>
      </c>
      <c r="BK113" s="7">
        <v>0</v>
      </c>
      <c r="BL113" s="7">
        <v>0</v>
      </c>
      <c r="BM113" s="7">
        <v>0</v>
      </c>
      <c r="BN113" s="7">
        <v>0</v>
      </c>
      <c r="BO113" s="8">
        <f t="shared" si="88"/>
        <v>0</v>
      </c>
      <c r="BP113" s="7">
        <v>0</v>
      </c>
      <c r="BQ113" s="7">
        <v>0</v>
      </c>
      <c r="BR113" s="7">
        <v>0</v>
      </c>
      <c r="BS113" s="7">
        <v>0</v>
      </c>
      <c r="BT113" s="7">
        <v>0</v>
      </c>
      <c r="BU113" s="7">
        <v>0</v>
      </c>
      <c r="BV113" s="7">
        <v>0</v>
      </c>
      <c r="BW113" s="9"/>
      <c r="BX113" s="9"/>
      <c r="BY113" s="9"/>
      <c r="BZ113" s="9"/>
      <c r="CA113" s="9"/>
      <c r="CB113" s="8">
        <f t="shared" si="89"/>
        <v>0</v>
      </c>
    </row>
    <row r="114" spans="2:80" ht="28.05" customHeight="1" x14ac:dyDescent="0.3">
      <c r="B114" s="6" t="s">
        <v>50</v>
      </c>
      <c r="C114" s="9"/>
      <c r="D114" s="9"/>
      <c r="E114" s="9"/>
      <c r="F114" s="9"/>
      <c r="G114" s="9"/>
      <c r="H114" s="9"/>
      <c r="I114" s="9"/>
      <c r="J114" s="9"/>
      <c r="K114" s="9"/>
      <c r="L114" s="9"/>
      <c r="M114" s="9"/>
      <c r="N114" s="9"/>
      <c r="O114" s="8">
        <f t="shared" si="84"/>
        <v>0</v>
      </c>
      <c r="P114" s="9"/>
      <c r="Q114" s="9"/>
      <c r="R114" s="9"/>
      <c r="S114" s="9"/>
      <c r="T114" s="9"/>
      <c r="U114" s="9"/>
      <c r="V114" s="9"/>
      <c r="W114" s="9"/>
      <c r="X114" s="9"/>
      <c r="Y114" s="9"/>
      <c r="Z114" s="9"/>
      <c r="AA114" s="9"/>
      <c r="AB114" s="8">
        <f t="shared" si="85"/>
        <v>0</v>
      </c>
      <c r="AC114" s="9"/>
      <c r="AD114" s="9"/>
      <c r="AE114" s="9"/>
      <c r="AF114" s="9"/>
      <c r="AG114" s="9"/>
      <c r="AH114" s="9"/>
      <c r="AI114" s="9"/>
      <c r="AJ114" s="9"/>
      <c r="AK114" s="9"/>
      <c r="AL114" s="9"/>
      <c r="AM114" s="9"/>
      <c r="AN114" s="9"/>
      <c r="AO114" s="8">
        <f t="shared" si="86"/>
        <v>0</v>
      </c>
      <c r="AP114" s="7">
        <v>0</v>
      </c>
      <c r="AQ114" s="7">
        <v>0</v>
      </c>
      <c r="AR114" s="7">
        <v>0</v>
      </c>
      <c r="AS114" s="7">
        <v>0</v>
      </c>
      <c r="AT114" s="7">
        <v>0</v>
      </c>
      <c r="AU114" s="7">
        <v>0</v>
      </c>
      <c r="AV114" s="7">
        <v>0</v>
      </c>
      <c r="AW114" s="7">
        <v>0</v>
      </c>
      <c r="AX114" s="7">
        <v>0</v>
      </c>
      <c r="AY114" s="7">
        <v>0</v>
      </c>
      <c r="AZ114" s="7">
        <v>0</v>
      </c>
      <c r="BA114" s="7">
        <v>0</v>
      </c>
      <c r="BB114" s="8">
        <f t="shared" si="87"/>
        <v>0</v>
      </c>
      <c r="BC114" s="7">
        <v>0</v>
      </c>
      <c r="BD114" s="7">
        <v>0</v>
      </c>
      <c r="BE114" s="7">
        <v>0</v>
      </c>
      <c r="BF114" s="7">
        <v>0</v>
      </c>
      <c r="BG114" s="7">
        <v>0</v>
      </c>
      <c r="BH114" s="7">
        <v>0</v>
      </c>
      <c r="BI114" s="7">
        <v>0</v>
      </c>
      <c r="BJ114" s="7">
        <v>0</v>
      </c>
      <c r="BK114" s="7">
        <v>0</v>
      </c>
      <c r="BL114" s="7">
        <v>0</v>
      </c>
      <c r="BM114" s="7">
        <v>0</v>
      </c>
      <c r="BN114" s="7">
        <v>0</v>
      </c>
      <c r="BO114" s="8">
        <f t="shared" si="88"/>
        <v>0</v>
      </c>
      <c r="BP114" s="7">
        <v>0</v>
      </c>
      <c r="BQ114" s="7">
        <v>0</v>
      </c>
      <c r="BR114" s="7">
        <v>0</v>
      </c>
      <c r="BS114" s="7">
        <v>0</v>
      </c>
      <c r="BT114" s="7">
        <v>0</v>
      </c>
      <c r="BU114" s="7">
        <v>0</v>
      </c>
      <c r="BV114" s="7">
        <v>0</v>
      </c>
      <c r="BW114" s="9"/>
      <c r="BX114" s="9"/>
      <c r="BY114" s="9"/>
      <c r="BZ114" s="9"/>
      <c r="CA114" s="9"/>
      <c r="CB114" s="8">
        <f t="shared" si="89"/>
        <v>0</v>
      </c>
    </row>
    <row r="115" spans="2:80" ht="28.05" customHeight="1" x14ac:dyDescent="0.3">
      <c r="B115" s="6" t="s">
        <v>51</v>
      </c>
      <c r="C115" s="9"/>
      <c r="D115" s="9"/>
      <c r="E115" s="9"/>
      <c r="F115" s="9"/>
      <c r="G115" s="9"/>
      <c r="H115" s="9"/>
      <c r="I115" s="9"/>
      <c r="J115" s="9"/>
      <c r="K115" s="9"/>
      <c r="L115" s="9"/>
      <c r="M115" s="9"/>
      <c r="N115" s="9"/>
      <c r="O115" s="8">
        <f t="shared" si="84"/>
        <v>0</v>
      </c>
      <c r="P115" s="9"/>
      <c r="Q115" s="9"/>
      <c r="R115" s="9"/>
      <c r="S115" s="9"/>
      <c r="T115" s="9"/>
      <c r="U115" s="9"/>
      <c r="V115" s="9"/>
      <c r="W115" s="9"/>
      <c r="X115" s="9"/>
      <c r="Y115" s="9"/>
      <c r="Z115" s="9"/>
      <c r="AA115" s="9"/>
      <c r="AB115" s="8">
        <f t="shared" si="85"/>
        <v>0</v>
      </c>
      <c r="AC115" s="9"/>
      <c r="AD115" s="9"/>
      <c r="AE115" s="9"/>
      <c r="AF115" s="9"/>
      <c r="AG115" s="9"/>
      <c r="AH115" s="9"/>
      <c r="AI115" s="9"/>
      <c r="AJ115" s="9"/>
      <c r="AK115" s="9"/>
      <c r="AL115" s="9"/>
      <c r="AM115" s="9"/>
      <c r="AN115" s="9"/>
      <c r="AO115" s="8">
        <f t="shared" si="86"/>
        <v>0</v>
      </c>
      <c r="AP115" s="7">
        <v>0</v>
      </c>
      <c r="AQ115" s="7">
        <v>0</v>
      </c>
      <c r="AR115" s="7">
        <v>0</v>
      </c>
      <c r="AS115" s="7">
        <v>0</v>
      </c>
      <c r="AT115" s="7">
        <v>0</v>
      </c>
      <c r="AU115" s="7">
        <v>0</v>
      </c>
      <c r="AV115" s="7">
        <v>0</v>
      </c>
      <c r="AW115" s="7">
        <v>0</v>
      </c>
      <c r="AX115" s="7">
        <v>0</v>
      </c>
      <c r="AY115" s="7">
        <v>0</v>
      </c>
      <c r="AZ115" s="7">
        <v>0</v>
      </c>
      <c r="BA115" s="7">
        <v>0</v>
      </c>
      <c r="BB115" s="8">
        <f t="shared" si="87"/>
        <v>0</v>
      </c>
      <c r="BC115" s="7">
        <v>0</v>
      </c>
      <c r="BD115" s="7">
        <v>0</v>
      </c>
      <c r="BE115" s="7">
        <v>0</v>
      </c>
      <c r="BF115" s="7">
        <v>0</v>
      </c>
      <c r="BG115" s="7">
        <v>0</v>
      </c>
      <c r="BH115" s="7">
        <v>0</v>
      </c>
      <c r="BI115" s="7">
        <v>0</v>
      </c>
      <c r="BJ115" s="7">
        <v>0</v>
      </c>
      <c r="BK115" s="7">
        <v>0</v>
      </c>
      <c r="BL115" s="7">
        <v>0</v>
      </c>
      <c r="BM115" s="7">
        <v>0</v>
      </c>
      <c r="BN115" s="7">
        <v>0</v>
      </c>
      <c r="BO115" s="8">
        <f t="shared" si="88"/>
        <v>0</v>
      </c>
      <c r="BP115" s="7">
        <v>0</v>
      </c>
      <c r="BQ115" s="7">
        <v>0</v>
      </c>
      <c r="BR115" s="7">
        <v>0</v>
      </c>
      <c r="BS115" s="7">
        <v>0</v>
      </c>
      <c r="BT115" s="7">
        <v>0</v>
      </c>
      <c r="BU115" s="7">
        <v>0</v>
      </c>
      <c r="BV115" s="7">
        <v>0</v>
      </c>
      <c r="BW115" s="9"/>
      <c r="BX115" s="9"/>
      <c r="BY115" s="9"/>
      <c r="BZ115" s="9"/>
      <c r="CA115" s="9"/>
      <c r="CB115" s="8">
        <f t="shared" si="89"/>
        <v>0</v>
      </c>
    </row>
    <row r="116" spans="2:80" ht="22.05" customHeight="1" x14ac:dyDescent="0.3">
      <c r="B116" s="3" t="s">
        <v>87</v>
      </c>
      <c r="C116" s="10">
        <f t="shared" ref="C116:AH116" si="90">SUM(C110:C115)</f>
        <v>0</v>
      </c>
      <c r="D116" s="10">
        <f t="shared" si="90"/>
        <v>0</v>
      </c>
      <c r="E116" s="10">
        <f t="shared" si="90"/>
        <v>0</v>
      </c>
      <c r="F116" s="10">
        <f t="shared" si="90"/>
        <v>0</v>
      </c>
      <c r="G116" s="10">
        <f t="shared" si="90"/>
        <v>0</v>
      </c>
      <c r="H116" s="10">
        <f t="shared" si="90"/>
        <v>0</v>
      </c>
      <c r="I116" s="10">
        <f t="shared" si="90"/>
        <v>0</v>
      </c>
      <c r="J116" s="10">
        <f t="shared" si="90"/>
        <v>0</v>
      </c>
      <c r="K116" s="10">
        <f t="shared" si="90"/>
        <v>0</v>
      </c>
      <c r="L116" s="10">
        <f t="shared" si="90"/>
        <v>0</v>
      </c>
      <c r="M116" s="10">
        <f t="shared" si="90"/>
        <v>0</v>
      </c>
      <c r="N116" s="10">
        <f t="shared" si="90"/>
        <v>0</v>
      </c>
      <c r="O116" s="10">
        <f t="shared" si="90"/>
        <v>0</v>
      </c>
      <c r="P116" s="10">
        <f t="shared" si="90"/>
        <v>0</v>
      </c>
      <c r="Q116" s="10">
        <f t="shared" si="90"/>
        <v>0</v>
      </c>
      <c r="R116" s="10">
        <f t="shared" si="90"/>
        <v>0</v>
      </c>
      <c r="S116" s="10">
        <f t="shared" si="90"/>
        <v>0</v>
      </c>
      <c r="T116" s="10">
        <f t="shared" si="90"/>
        <v>0</v>
      </c>
      <c r="U116" s="10">
        <f t="shared" si="90"/>
        <v>0</v>
      </c>
      <c r="V116" s="10">
        <f t="shared" si="90"/>
        <v>0</v>
      </c>
      <c r="W116" s="10">
        <f t="shared" si="90"/>
        <v>0</v>
      </c>
      <c r="X116" s="10">
        <f t="shared" si="90"/>
        <v>0</v>
      </c>
      <c r="Y116" s="10">
        <f t="shared" si="90"/>
        <v>0</v>
      </c>
      <c r="Z116" s="10">
        <f t="shared" si="90"/>
        <v>0</v>
      </c>
      <c r="AA116" s="10">
        <f t="shared" si="90"/>
        <v>0</v>
      </c>
      <c r="AB116" s="10">
        <f t="shared" si="90"/>
        <v>0</v>
      </c>
      <c r="AC116" s="10">
        <f t="shared" si="90"/>
        <v>0</v>
      </c>
      <c r="AD116" s="10">
        <f t="shared" si="90"/>
        <v>0</v>
      </c>
      <c r="AE116" s="10">
        <f t="shared" si="90"/>
        <v>0</v>
      </c>
      <c r="AF116" s="10">
        <f t="shared" si="90"/>
        <v>0</v>
      </c>
      <c r="AG116" s="10">
        <f t="shared" si="90"/>
        <v>0</v>
      </c>
      <c r="AH116" s="10">
        <f t="shared" si="90"/>
        <v>0</v>
      </c>
      <c r="AI116" s="10">
        <f t="shared" ref="AI116:BN116" si="91">SUM(AI110:AI115)</f>
        <v>1050</v>
      </c>
      <c r="AJ116" s="10">
        <f t="shared" si="91"/>
        <v>1050</v>
      </c>
      <c r="AK116" s="10">
        <f t="shared" si="91"/>
        <v>37795</v>
      </c>
      <c r="AL116" s="10">
        <f t="shared" si="91"/>
        <v>169483</v>
      </c>
      <c r="AM116" s="10">
        <f t="shared" si="91"/>
        <v>843033</v>
      </c>
      <c r="AN116" s="10">
        <f t="shared" si="91"/>
        <v>3861859</v>
      </c>
      <c r="AO116" s="10">
        <f t="shared" si="91"/>
        <v>3861859</v>
      </c>
      <c r="AP116" s="10">
        <f t="shared" si="91"/>
        <v>0</v>
      </c>
      <c r="AQ116" s="10">
        <f t="shared" si="91"/>
        <v>0</v>
      </c>
      <c r="AR116" s="10">
        <f t="shared" si="91"/>
        <v>0</v>
      </c>
      <c r="AS116" s="10">
        <f t="shared" si="91"/>
        <v>0</v>
      </c>
      <c r="AT116" s="10">
        <f t="shared" si="91"/>
        <v>0</v>
      </c>
      <c r="AU116" s="10">
        <f t="shared" si="91"/>
        <v>0</v>
      </c>
      <c r="AV116" s="10">
        <f t="shared" si="91"/>
        <v>0</v>
      </c>
      <c r="AW116" s="10">
        <f t="shared" si="91"/>
        <v>0</v>
      </c>
      <c r="AX116" s="10">
        <f t="shared" si="91"/>
        <v>0</v>
      </c>
      <c r="AY116" s="10">
        <f t="shared" si="91"/>
        <v>0</v>
      </c>
      <c r="AZ116" s="10">
        <f t="shared" si="91"/>
        <v>0</v>
      </c>
      <c r="BA116" s="10">
        <f t="shared" si="91"/>
        <v>0</v>
      </c>
      <c r="BB116" s="10">
        <f t="shared" si="91"/>
        <v>0</v>
      </c>
      <c r="BC116" s="10">
        <f t="shared" si="91"/>
        <v>0</v>
      </c>
      <c r="BD116" s="10">
        <f t="shared" si="91"/>
        <v>0</v>
      </c>
      <c r="BE116" s="10">
        <f t="shared" si="91"/>
        <v>0</v>
      </c>
      <c r="BF116" s="10">
        <f t="shared" si="91"/>
        <v>0</v>
      </c>
      <c r="BG116" s="10">
        <f t="shared" si="91"/>
        <v>0</v>
      </c>
      <c r="BH116" s="10">
        <f t="shared" si="91"/>
        <v>0</v>
      </c>
      <c r="BI116" s="10">
        <f t="shared" si="91"/>
        <v>0</v>
      </c>
      <c r="BJ116" s="10">
        <f t="shared" si="91"/>
        <v>0</v>
      </c>
      <c r="BK116" s="10">
        <f t="shared" si="91"/>
        <v>0</v>
      </c>
      <c r="BL116" s="10">
        <f t="shared" si="91"/>
        <v>0</v>
      </c>
      <c r="BM116" s="10">
        <f t="shared" si="91"/>
        <v>0</v>
      </c>
      <c r="BN116" s="10">
        <f t="shared" si="91"/>
        <v>0</v>
      </c>
      <c r="BO116" s="10">
        <f t="shared" ref="BO116:CB116" si="92">SUM(BO110:BO115)</f>
        <v>0</v>
      </c>
      <c r="BP116" s="10">
        <f t="shared" si="92"/>
        <v>0</v>
      </c>
      <c r="BQ116" s="10">
        <f t="shared" si="92"/>
        <v>0</v>
      </c>
      <c r="BR116" s="10">
        <f t="shared" si="92"/>
        <v>0</v>
      </c>
      <c r="BS116" s="10">
        <f t="shared" si="92"/>
        <v>0</v>
      </c>
      <c r="BT116" s="10">
        <f t="shared" si="92"/>
        <v>0</v>
      </c>
      <c r="BU116" s="10">
        <f t="shared" si="92"/>
        <v>0</v>
      </c>
      <c r="BV116" s="10">
        <f t="shared" si="92"/>
        <v>0</v>
      </c>
      <c r="BW116" s="10">
        <f t="shared" si="92"/>
        <v>0</v>
      </c>
      <c r="BX116" s="10">
        <f t="shared" si="92"/>
        <v>0</v>
      </c>
      <c r="BY116" s="10">
        <f t="shared" si="92"/>
        <v>0</v>
      </c>
      <c r="BZ116" s="10">
        <f t="shared" si="92"/>
        <v>0</v>
      </c>
      <c r="CA116" s="10">
        <f t="shared" si="92"/>
        <v>0</v>
      </c>
      <c r="CB116" s="10">
        <f t="shared" si="92"/>
        <v>0</v>
      </c>
    </row>
    <row r="117" spans="2:80" x14ac:dyDescent="0.3">
      <c r="B117" s="58" t="s">
        <v>99</v>
      </c>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row>
    <row r="121" spans="2:80" x14ac:dyDescent="0.3">
      <c r="B121" s="58" t="s">
        <v>102</v>
      </c>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row>
    <row r="122" spans="2:80" x14ac:dyDescent="0.3">
      <c r="B122" s="58" t="s">
        <v>103</v>
      </c>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row>
    <row r="123" spans="2:80" x14ac:dyDescent="0.3">
      <c r="B123" s="58" t="s">
        <v>104</v>
      </c>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row>
    <row r="124" spans="2:80" x14ac:dyDescent="0.3">
      <c r="B124" s="58" t="s">
        <v>105</v>
      </c>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row>
    <row r="125" spans="2:80" x14ac:dyDescent="0.3">
      <c r="B125" s="58" t="s">
        <v>106</v>
      </c>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row>
    <row r="126" spans="2:80" x14ac:dyDescent="0.3">
      <c r="B126" s="58" t="s">
        <v>107</v>
      </c>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row>
    <row r="127" spans="2:80" x14ac:dyDescent="0.3">
      <c r="B127" s="58" t="s">
        <v>108</v>
      </c>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row>
    <row r="128" spans="2:80" x14ac:dyDescent="0.3">
      <c r="B128" s="58" t="s">
        <v>109</v>
      </c>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row>
    <row r="129" spans="2:80" x14ac:dyDescent="0.3">
      <c r="B129" s="58" t="s">
        <v>110</v>
      </c>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row>
    <row r="130" spans="2:80" x14ac:dyDescent="0.3">
      <c r="B130" s="58" t="s">
        <v>111</v>
      </c>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row>
    <row r="156" spans="2:80" x14ac:dyDescent="0.3">
      <c r="B156" t="str">
        <f t="shared" ref="B156:B161" si="93">+B8</f>
        <v>Dirección de Vialidad</v>
      </c>
      <c r="C156" s="11">
        <f t="shared" ref="C156:AH156" si="94">+C8+C47+C86</f>
        <v>1607158253</v>
      </c>
      <c r="D156" s="11">
        <f t="shared" si="94"/>
        <v>1607158253</v>
      </c>
      <c r="E156" s="11">
        <f t="shared" si="94"/>
        <v>1607158253</v>
      </c>
      <c r="F156" s="11">
        <f t="shared" si="94"/>
        <v>1607158253</v>
      </c>
      <c r="G156" s="11">
        <f t="shared" si="94"/>
        <v>1607158253</v>
      </c>
      <c r="H156" s="11">
        <f t="shared" si="94"/>
        <v>1607158253</v>
      </c>
      <c r="I156" s="11">
        <f t="shared" si="94"/>
        <v>1607158253</v>
      </c>
      <c r="J156" s="11">
        <f t="shared" si="94"/>
        <v>1607158253</v>
      </c>
      <c r="K156" s="11">
        <f t="shared" si="94"/>
        <v>1607158253</v>
      </c>
      <c r="L156" s="11">
        <f t="shared" si="94"/>
        <v>1607158253</v>
      </c>
      <c r="M156" s="11">
        <f t="shared" si="94"/>
        <v>1607158253</v>
      </c>
      <c r="N156" s="11">
        <f t="shared" si="94"/>
        <v>1607158253</v>
      </c>
      <c r="O156" s="11">
        <f t="shared" si="94"/>
        <v>1607158253</v>
      </c>
      <c r="P156" s="11">
        <f t="shared" si="94"/>
        <v>1802763004</v>
      </c>
      <c r="Q156" s="11">
        <f t="shared" si="94"/>
        <v>1802763004</v>
      </c>
      <c r="R156" s="11">
        <f t="shared" si="94"/>
        <v>1802763004</v>
      </c>
      <c r="S156" s="11">
        <f t="shared" si="94"/>
        <v>1802763004</v>
      </c>
      <c r="T156" s="11">
        <f t="shared" si="94"/>
        <v>1802763004</v>
      </c>
      <c r="U156" s="11">
        <f t="shared" si="94"/>
        <v>1802763004</v>
      </c>
      <c r="V156" s="11">
        <f t="shared" si="94"/>
        <v>1802763004</v>
      </c>
      <c r="W156" s="11">
        <f t="shared" si="94"/>
        <v>1802763004</v>
      </c>
      <c r="X156" s="11">
        <f t="shared" si="94"/>
        <v>1802763004</v>
      </c>
      <c r="Y156" s="11">
        <f t="shared" si="94"/>
        <v>1802763004</v>
      </c>
      <c r="Z156" s="11">
        <f t="shared" si="94"/>
        <v>1802763004</v>
      </c>
      <c r="AA156" s="11">
        <f t="shared" si="94"/>
        <v>1802763004</v>
      </c>
      <c r="AB156" s="11">
        <f t="shared" si="94"/>
        <v>1802763004</v>
      </c>
      <c r="AC156" s="11">
        <f t="shared" si="94"/>
        <v>1935944585</v>
      </c>
      <c r="AD156" s="11">
        <f t="shared" si="94"/>
        <v>1935944585</v>
      </c>
      <c r="AE156" s="11">
        <f t="shared" si="94"/>
        <v>1935944585</v>
      </c>
      <c r="AF156" s="11">
        <f t="shared" si="94"/>
        <v>1935944585</v>
      </c>
      <c r="AG156" s="11">
        <f t="shared" si="94"/>
        <v>1935944585</v>
      </c>
      <c r="AH156" s="11">
        <f t="shared" si="94"/>
        <v>1935944585</v>
      </c>
      <c r="AI156" s="11">
        <f t="shared" ref="AI156:BN156" si="95">+AI8+AI47+AI86</f>
        <v>1935944585</v>
      </c>
      <c r="AJ156" s="11">
        <f t="shared" si="95"/>
        <v>1935944585</v>
      </c>
      <c r="AK156" s="11">
        <f t="shared" si="95"/>
        <v>1935944585</v>
      </c>
      <c r="AL156" s="11">
        <f t="shared" si="95"/>
        <v>1935944585</v>
      </c>
      <c r="AM156" s="11">
        <f t="shared" si="95"/>
        <v>1935944585</v>
      </c>
      <c r="AN156" s="11">
        <f t="shared" si="95"/>
        <v>1935944585</v>
      </c>
      <c r="AO156" s="11">
        <f t="shared" si="95"/>
        <v>1935944585</v>
      </c>
      <c r="AP156" s="11">
        <f t="shared" si="95"/>
        <v>2013820541</v>
      </c>
      <c r="AQ156" s="11">
        <f t="shared" si="95"/>
        <v>2013820541</v>
      </c>
      <c r="AR156" s="11">
        <f t="shared" si="95"/>
        <v>2013820541</v>
      </c>
      <c r="AS156" s="11">
        <f t="shared" si="95"/>
        <v>2013820541</v>
      </c>
      <c r="AT156" s="11">
        <f t="shared" si="95"/>
        <v>2013820541</v>
      </c>
      <c r="AU156" s="11">
        <f t="shared" si="95"/>
        <v>2013820541</v>
      </c>
      <c r="AV156" s="11">
        <f t="shared" si="95"/>
        <v>2013820541</v>
      </c>
      <c r="AW156" s="11">
        <f t="shared" si="95"/>
        <v>2013820541</v>
      </c>
      <c r="AX156" s="11">
        <f t="shared" si="95"/>
        <v>2013820541</v>
      </c>
      <c r="AY156" s="11">
        <f t="shared" si="95"/>
        <v>2013820541</v>
      </c>
      <c r="AZ156" s="11">
        <f t="shared" si="95"/>
        <v>2013820541</v>
      </c>
      <c r="BA156" s="11">
        <f t="shared" si="95"/>
        <v>2013820541</v>
      </c>
      <c r="BB156" s="11">
        <f t="shared" si="95"/>
        <v>2013820541</v>
      </c>
      <c r="BC156" s="11">
        <f t="shared" si="95"/>
        <v>2089643907</v>
      </c>
      <c r="BD156" s="11">
        <f t="shared" si="95"/>
        <v>2089643907</v>
      </c>
      <c r="BE156" s="11">
        <f t="shared" si="95"/>
        <v>2089643907</v>
      </c>
      <c r="BF156" s="11">
        <f t="shared" si="95"/>
        <v>2089643907</v>
      </c>
      <c r="BG156" s="11">
        <f t="shared" si="95"/>
        <v>2089643907</v>
      </c>
      <c r="BH156" s="11">
        <f t="shared" si="95"/>
        <v>2089643907</v>
      </c>
      <c r="BI156" s="11">
        <f t="shared" si="95"/>
        <v>2089643907</v>
      </c>
      <c r="BJ156" s="11">
        <f t="shared" si="95"/>
        <v>2089643907</v>
      </c>
      <c r="BK156" s="11">
        <f t="shared" si="95"/>
        <v>2089643907</v>
      </c>
      <c r="BL156" s="11">
        <f t="shared" si="95"/>
        <v>2089643907</v>
      </c>
      <c r="BM156" s="11">
        <f t="shared" si="95"/>
        <v>2089643907</v>
      </c>
      <c r="BN156" s="11">
        <f t="shared" si="95"/>
        <v>2089643907</v>
      </c>
      <c r="BO156" s="11">
        <f t="shared" ref="BO156:CB156" si="96">+BO8+BO47+BO86</f>
        <v>2089643907</v>
      </c>
      <c r="BP156" s="11">
        <f t="shared" si="96"/>
        <v>1952548555</v>
      </c>
      <c r="BQ156" s="11">
        <f t="shared" si="96"/>
        <v>1952548555</v>
      </c>
      <c r="BR156" s="11">
        <f t="shared" si="96"/>
        <v>1952548555</v>
      </c>
      <c r="BS156" s="11">
        <f t="shared" si="96"/>
        <v>1952548555</v>
      </c>
      <c r="BT156" s="11">
        <f t="shared" si="96"/>
        <v>1952548555</v>
      </c>
      <c r="BU156" s="11">
        <f t="shared" si="96"/>
        <v>1952548555</v>
      </c>
      <c r="BV156" s="11">
        <f t="shared" si="96"/>
        <v>1952548555</v>
      </c>
      <c r="BW156" s="11">
        <f t="shared" si="96"/>
        <v>0</v>
      </c>
      <c r="BX156" s="11">
        <f t="shared" si="96"/>
        <v>0</v>
      </c>
      <c r="BY156" s="11">
        <f t="shared" si="96"/>
        <v>0</v>
      </c>
      <c r="BZ156" s="11">
        <f t="shared" si="96"/>
        <v>0</v>
      </c>
      <c r="CA156" s="11">
        <f t="shared" si="96"/>
        <v>0</v>
      </c>
      <c r="CB156" s="11">
        <f t="shared" si="96"/>
        <v>1952548555</v>
      </c>
    </row>
    <row r="157" spans="2:80" x14ac:dyDescent="0.3">
      <c r="B157" t="str">
        <f t="shared" si="93"/>
        <v>Dirección de Obras Hidráulicas</v>
      </c>
      <c r="C157" s="11">
        <f t="shared" ref="C157:AH157" si="97">+C9+C48+C87</f>
        <v>241631402</v>
      </c>
      <c r="D157" s="11">
        <f t="shared" si="97"/>
        <v>241631402</v>
      </c>
      <c r="E157" s="11">
        <f t="shared" si="97"/>
        <v>241631402</v>
      </c>
      <c r="F157" s="11">
        <f t="shared" si="97"/>
        <v>241631402</v>
      </c>
      <c r="G157" s="11">
        <f t="shared" si="97"/>
        <v>241631402</v>
      </c>
      <c r="H157" s="11">
        <f t="shared" si="97"/>
        <v>241631402</v>
      </c>
      <c r="I157" s="11">
        <f t="shared" si="97"/>
        <v>241631402</v>
      </c>
      <c r="J157" s="11">
        <f t="shared" si="97"/>
        <v>241631402</v>
      </c>
      <c r="K157" s="11">
        <f t="shared" si="97"/>
        <v>241631402</v>
      </c>
      <c r="L157" s="11">
        <f t="shared" si="97"/>
        <v>241631402</v>
      </c>
      <c r="M157" s="11">
        <f t="shared" si="97"/>
        <v>241631402</v>
      </c>
      <c r="N157" s="11">
        <f t="shared" si="97"/>
        <v>241631402</v>
      </c>
      <c r="O157" s="11">
        <f t="shared" si="97"/>
        <v>241631402</v>
      </c>
      <c r="P157" s="11">
        <f t="shared" si="97"/>
        <v>277965767</v>
      </c>
      <c r="Q157" s="11">
        <f t="shared" si="97"/>
        <v>277965767</v>
      </c>
      <c r="R157" s="11">
        <f t="shared" si="97"/>
        <v>277965767</v>
      </c>
      <c r="S157" s="11">
        <f t="shared" si="97"/>
        <v>277965767</v>
      </c>
      <c r="T157" s="11">
        <f t="shared" si="97"/>
        <v>277965767</v>
      </c>
      <c r="U157" s="11">
        <f t="shared" si="97"/>
        <v>277965767</v>
      </c>
      <c r="V157" s="11">
        <f t="shared" si="97"/>
        <v>277965767</v>
      </c>
      <c r="W157" s="11">
        <f t="shared" si="97"/>
        <v>277965767</v>
      </c>
      <c r="X157" s="11">
        <f t="shared" si="97"/>
        <v>277965767</v>
      </c>
      <c r="Y157" s="11">
        <f t="shared" si="97"/>
        <v>277965767</v>
      </c>
      <c r="Z157" s="11">
        <f t="shared" si="97"/>
        <v>277965767</v>
      </c>
      <c r="AA157" s="11">
        <f t="shared" si="97"/>
        <v>277965767</v>
      </c>
      <c r="AB157" s="11">
        <f t="shared" si="97"/>
        <v>277965767</v>
      </c>
      <c r="AC157" s="11">
        <f t="shared" si="97"/>
        <v>294238891</v>
      </c>
      <c r="AD157" s="11">
        <f t="shared" si="97"/>
        <v>294238891</v>
      </c>
      <c r="AE157" s="11">
        <f t="shared" si="97"/>
        <v>294238891</v>
      </c>
      <c r="AF157" s="11">
        <f t="shared" si="97"/>
        <v>294238891</v>
      </c>
      <c r="AG157" s="11">
        <f t="shared" si="97"/>
        <v>294238891</v>
      </c>
      <c r="AH157" s="11">
        <f t="shared" si="97"/>
        <v>294238891</v>
      </c>
      <c r="AI157" s="11">
        <f t="shared" ref="AI157:BN157" si="98">+AI9+AI48+AI87</f>
        <v>294238891</v>
      </c>
      <c r="AJ157" s="11">
        <f t="shared" si="98"/>
        <v>294238891</v>
      </c>
      <c r="AK157" s="11">
        <f t="shared" si="98"/>
        <v>294238891</v>
      </c>
      <c r="AL157" s="11">
        <f t="shared" si="98"/>
        <v>294238891</v>
      </c>
      <c r="AM157" s="11">
        <f t="shared" si="98"/>
        <v>294238891</v>
      </c>
      <c r="AN157" s="11">
        <f t="shared" si="98"/>
        <v>294238891</v>
      </c>
      <c r="AO157" s="11">
        <f t="shared" si="98"/>
        <v>294238891</v>
      </c>
      <c r="AP157" s="11">
        <f t="shared" si="98"/>
        <v>296558472</v>
      </c>
      <c r="AQ157" s="11">
        <f t="shared" si="98"/>
        <v>296558472</v>
      </c>
      <c r="AR157" s="11">
        <f t="shared" si="98"/>
        <v>296558472</v>
      </c>
      <c r="AS157" s="11">
        <f t="shared" si="98"/>
        <v>296558472</v>
      </c>
      <c r="AT157" s="11">
        <f t="shared" si="98"/>
        <v>296558472</v>
      </c>
      <c r="AU157" s="11">
        <f t="shared" si="98"/>
        <v>296558472</v>
      </c>
      <c r="AV157" s="11">
        <f t="shared" si="98"/>
        <v>296558472</v>
      </c>
      <c r="AW157" s="11">
        <f t="shared" si="98"/>
        <v>296558472</v>
      </c>
      <c r="AX157" s="11">
        <f t="shared" si="98"/>
        <v>296558472</v>
      </c>
      <c r="AY157" s="11">
        <f t="shared" si="98"/>
        <v>296558472</v>
      </c>
      <c r="AZ157" s="11">
        <f t="shared" si="98"/>
        <v>296558472</v>
      </c>
      <c r="BA157" s="11">
        <f t="shared" si="98"/>
        <v>296558472</v>
      </c>
      <c r="BB157" s="11">
        <f t="shared" si="98"/>
        <v>296558472</v>
      </c>
      <c r="BC157" s="11">
        <f t="shared" si="98"/>
        <v>309355293</v>
      </c>
      <c r="BD157" s="11">
        <f t="shared" si="98"/>
        <v>309355293</v>
      </c>
      <c r="BE157" s="11">
        <f t="shared" si="98"/>
        <v>309355293</v>
      </c>
      <c r="BF157" s="11">
        <f t="shared" si="98"/>
        <v>309355293</v>
      </c>
      <c r="BG157" s="11">
        <f t="shared" si="98"/>
        <v>309355293</v>
      </c>
      <c r="BH157" s="11">
        <f t="shared" si="98"/>
        <v>309355293</v>
      </c>
      <c r="BI157" s="11">
        <f t="shared" si="98"/>
        <v>309355293</v>
      </c>
      <c r="BJ157" s="11">
        <f t="shared" si="98"/>
        <v>309355293</v>
      </c>
      <c r="BK157" s="11">
        <f t="shared" si="98"/>
        <v>309355293</v>
      </c>
      <c r="BL157" s="11">
        <f t="shared" si="98"/>
        <v>309355293</v>
      </c>
      <c r="BM157" s="11">
        <f t="shared" si="98"/>
        <v>309355293</v>
      </c>
      <c r="BN157" s="11">
        <f t="shared" si="98"/>
        <v>309355293</v>
      </c>
      <c r="BO157" s="11">
        <f t="shared" ref="BO157:CB157" si="99">+BO9+BO48+BO87</f>
        <v>309355293</v>
      </c>
      <c r="BP157" s="11">
        <f t="shared" si="99"/>
        <v>196557188</v>
      </c>
      <c r="BQ157" s="11">
        <f t="shared" si="99"/>
        <v>196557188</v>
      </c>
      <c r="BR157" s="11">
        <f t="shared" si="99"/>
        <v>196557188</v>
      </c>
      <c r="BS157" s="11">
        <f t="shared" si="99"/>
        <v>196557188</v>
      </c>
      <c r="BT157" s="11">
        <f t="shared" si="99"/>
        <v>196557188</v>
      </c>
      <c r="BU157" s="11">
        <f t="shared" si="99"/>
        <v>196557188</v>
      </c>
      <c r="BV157" s="11">
        <f t="shared" si="99"/>
        <v>196557188</v>
      </c>
      <c r="BW157" s="11">
        <f t="shared" si="99"/>
        <v>0</v>
      </c>
      <c r="BX157" s="11">
        <f t="shared" si="99"/>
        <v>0</v>
      </c>
      <c r="BY157" s="11">
        <f t="shared" si="99"/>
        <v>0</v>
      </c>
      <c r="BZ157" s="11">
        <f t="shared" si="99"/>
        <v>0</v>
      </c>
      <c r="CA157" s="11">
        <f t="shared" si="99"/>
        <v>0</v>
      </c>
      <c r="CB157" s="11">
        <f t="shared" si="99"/>
        <v>196557188</v>
      </c>
    </row>
    <row r="158" spans="2:80" x14ac:dyDescent="0.3">
      <c r="B158" t="str">
        <f t="shared" si="93"/>
        <v>Subdirección de APR</v>
      </c>
      <c r="C158" s="11">
        <f t="shared" ref="C158:AH158" si="100">+C10+C49+C88</f>
        <v>246752414</v>
      </c>
      <c r="D158" s="11">
        <f t="shared" si="100"/>
        <v>246752414</v>
      </c>
      <c r="E158" s="11">
        <f t="shared" si="100"/>
        <v>246752414</v>
      </c>
      <c r="F158" s="11">
        <f t="shared" si="100"/>
        <v>246752414</v>
      </c>
      <c r="G158" s="11">
        <f t="shared" si="100"/>
        <v>246752414</v>
      </c>
      <c r="H158" s="11">
        <f t="shared" si="100"/>
        <v>246752414</v>
      </c>
      <c r="I158" s="11">
        <f t="shared" si="100"/>
        <v>246752414</v>
      </c>
      <c r="J158" s="11">
        <f t="shared" si="100"/>
        <v>246752414</v>
      </c>
      <c r="K158" s="11">
        <f t="shared" si="100"/>
        <v>246752414</v>
      </c>
      <c r="L158" s="11">
        <f t="shared" si="100"/>
        <v>246752414</v>
      </c>
      <c r="M158" s="11">
        <f t="shared" si="100"/>
        <v>246752414</v>
      </c>
      <c r="N158" s="11">
        <f t="shared" si="100"/>
        <v>246752414</v>
      </c>
      <c r="O158" s="11">
        <f t="shared" si="100"/>
        <v>246752414</v>
      </c>
      <c r="P158" s="11">
        <f t="shared" si="100"/>
        <v>278803279</v>
      </c>
      <c r="Q158" s="11">
        <f t="shared" si="100"/>
        <v>278803279</v>
      </c>
      <c r="R158" s="11">
        <f t="shared" si="100"/>
        <v>278803279</v>
      </c>
      <c r="S158" s="11">
        <f t="shared" si="100"/>
        <v>278803279</v>
      </c>
      <c r="T158" s="11">
        <f t="shared" si="100"/>
        <v>278803279</v>
      </c>
      <c r="U158" s="11">
        <f t="shared" si="100"/>
        <v>278803279</v>
      </c>
      <c r="V158" s="11">
        <f t="shared" si="100"/>
        <v>278803279</v>
      </c>
      <c r="W158" s="11">
        <f t="shared" si="100"/>
        <v>278803279</v>
      </c>
      <c r="X158" s="11">
        <f t="shared" si="100"/>
        <v>278803279</v>
      </c>
      <c r="Y158" s="11">
        <f t="shared" si="100"/>
        <v>278803279</v>
      </c>
      <c r="Z158" s="11">
        <f t="shared" si="100"/>
        <v>278803279</v>
      </c>
      <c r="AA158" s="11">
        <f t="shared" si="100"/>
        <v>278803279</v>
      </c>
      <c r="AB158" s="11">
        <f t="shared" si="100"/>
        <v>278803279</v>
      </c>
      <c r="AC158" s="11">
        <f t="shared" si="100"/>
        <v>314281036</v>
      </c>
      <c r="AD158" s="11">
        <f t="shared" si="100"/>
        <v>314281036</v>
      </c>
      <c r="AE158" s="11">
        <f t="shared" si="100"/>
        <v>314281036</v>
      </c>
      <c r="AF158" s="11">
        <f t="shared" si="100"/>
        <v>314281036</v>
      </c>
      <c r="AG158" s="11">
        <f t="shared" si="100"/>
        <v>314281036</v>
      </c>
      <c r="AH158" s="11">
        <f t="shared" si="100"/>
        <v>314281036</v>
      </c>
      <c r="AI158" s="11">
        <f t="shared" ref="AI158:BN158" si="101">+AI10+AI49+AI88</f>
        <v>314281036</v>
      </c>
      <c r="AJ158" s="11">
        <f t="shared" si="101"/>
        <v>314281036</v>
      </c>
      <c r="AK158" s="11">
        <f t="shared" si="101"/>
        <v>314281036</v>
      </c>
      <c r="AL158" s="11">
        <f t="shared" si="101"/>
        <v>314281036</v>
      </c>
      <c r="AM158" s="11">
        <f t="shared" si="101"/>
        <v>314281036</v>
      </c>
      <c r="AN158" s="11">
        <f t="shared" si="101"/>
        <v>314281036</v>
      </c>
      <c r="AO158" s="11">
        <f t="shared" si="101"/>
        <v>314281036</v>
      </c>
      <c r="AP158" s="11">
        <f t="shared" si="101"/>
        <v>316332746</v>
      </c>
      <c r="AQ158" s="11">
        <f t="shared" si="101"/>
        <v>316332746</v>
      </c>
      <c r="AR158" s="11">
        <f t="shared" si="101"/>
        <v>316332746</v>
      </c>
      <c r="AS158" s="11">
        <f t="shared" si="101"/>
        <v>316332746</v>
      </c>
      <c r="AT158" s="11">
        <f t="shared" si="101"/>
        <v>316332746</v>
      </c>
      <c r="AU158" s="11">
        <f t="shared" si="101"/>
        <v>316332746</v>
      </c>
      <c r="AV158" s="11">
        <f t="shared" si="101"/>
        <v>316332746</v>
      </c>
      <c r="AW158" s="11">
        <f t="shared" si="101"/>
        <v>316332746</v>
      </c>
      <c r="AX158" s="11">
        <f t="shared" si="101"/>
        <v>316332746</v>
      </c>
      <c r="AY158" s="11">
        <f t="shared" si="101"/>
        <v>316332746</v>
      </c>
      <c r="AZ158" s="11">
        <f t="shared" si="101"/>
        <v>316332746</v>
      </c>
      <c r="BA158" s="11">
        <f t="shared" si="101"/>
        <v>316332746</v>
      </c>
      <c r="BB158" s="11">
        <f t="shared" si="101"/>
        <v>316332746</v>
      </c>
      <c r="BC158" s="11">
        <f t="shared" si="101"/>
        <v>330955857</v>
      </c>
      <c r="BD158" s="11">
        <f t="shared" si="101"/>
        <v>330955857</v>
      </c>
      <c r="BE158" s="11">
        <f t="shared" si="101"/>
        <v>330955857</v>
      </c>
      <c r="BF158" s="11">
        <f t="shared" si="101"/>
        <v>330955857</v>
      </c>
      <c r="BG158" s="11">
        <f t="shared" si="101"/>
        <v>330955857</v>
      </c>
      <c r="BH158" s="11">
        <f t="shared" si="101"/>
        <v>330955857</v>
      </c>
      <c r="BI158" s="11">
        <f t="shared" si="101"/>
        <v>330955857</v>
      </c>
      <c r="BJ158" s="11">
        <f t="shared" si="101"/>
        <v>330955857</v>
      </c>
      <c r="BK158" s="11">
        <f t="shared" si="101"/>
        <v>330955857</v>
      </c>
      <c r="BL158" s="11">
        <f t="shared" si="101"/>
        <v>330955857</v>
      </c>
      <c r="BM158" s="11">
        <f t="shared" si="101"/>
        <v>330955857</v>
      </c>
      <c r="BN158" s="11">
        <f t="shared" si="101"/>
        <v>330955857</v>
      </c>
      <c r="BO158" s="11">
        <f t="shared" ref="BO158:CB158" si="102">+BO10+BO49+BO88</f>
        <v>330955857</v>
      </c>
      <c r="BP158" s="11">
        <f t="shared" si="102"/>
        <v>290781242</v>
      </c>
      <c r="BQ158" s="11">
        <f t="shared" si="102"/>
        <v>290781242</v>
      </c>
      <c r="BR158" s="11">
        <f t="shared" si="102"/>
        <v>290781242</v>
      </c>
      <c r="BS158" s="11">
        <f t="shared" si="102"/>
        <v>290781242</v>
      </c>
      <c r="BT158" s="11">
        <f t="shared" si="102"/>
        <v>290781242</v>
      </c>
      <c r="BU158" s="11">
        <f t="shared" si="102"/>
        <v>290781242</v>
      </c>
      <c r="BV158" s="11">
        <f t="shared" si="102"/>
        <v>290781242</v>
      </c>
      <c r="BW158" s="11">
        <f t="shared" si="102"/>
        <v>0</v>
      </c>
      <c r="BX158" s="11">
        <f t="shared" si="102"/>
        <v>0</v>
      </c>
      <c r="BY158" s="11">
        <f t="shared" si="102"/>
        <v>0</v>
      </c>
      <c r="BZ158" s="11">
        <f t="shared" si="102"/>
        <v>0</v>
      </c>
      <c r="CA158" s="11">
        <f t="shared" si="102"/>
        <v>0</v>
      </c>
      <c r="CB158" s="11">
        <f t="shared" si="102"/>
        <v>290781242</v>
      </c>
    </row>
    <row r="159" spans="2:80" x14ac:dyDescent="0.3">
      <c r="B159" t="str">
        <f t="shared" si="93"/>
        <v>Dirección de Obras Portuarias</v>
      </c>
      <c r="C159" s="11">
        <f t="shared" ref="C159:AH159" si="103">+C11+C50+C89</f>
        <v>87080342</v>
      </c>
      <c r="D159" s="11">
        <f t="shared" si="103"/>
        <v>87080342</v>
      </c>
      <c r="E159" s="11">
        <f t="shared" si="103"/>
        <v>87080342</v>
      </c>
      <c r="F159" s="11">
        <f t="shared" si="103"/>
        <v>87080342</v>
      </c>
      <c r="G159" s="11">
        <f t="shared" si="103"/>
        <v>87080342</v>
      </c>
      <c r="H159" s="11">
        <f t="shared" si="103"/>
        <v>87080342</v>
      </c>
      <c r="I159" s="11">
        <f t="shared" si="103"/>
        <v>87080342</v>
      </c>
      <c r="J159" s="11">
        <f t="shared" si="103"/>
        <v>87080342</v>
      </c>
      <c r="K159" s="11">
        <f t="shared" si="103"/>
        <v>87080342</v>
      </c>
      <c r="L159" s="11">
        <f t="shared" si="103"/>
        <v>87080342</v>
      </c>
      <c r="M159" s="11">
        <f t="shared" si="103"/>
        <v>87080342</v>
      </c>
      <c r="N159" s="11">
        <f t="shared" si="103"/>
        <v>87080342</v>
      </c>
      <c r="O159" s="11">
        <f t="shared" si="103"/>
        <v>87080342</v>
      </c>
      <c r="P159" s="11">
        <f t="shared" si="103"/>
        <v>101377201</v>
      </c>
      <c r="Q159" s="11">
        <f t="shared" si="103"/>
        <v>101377201</v>
      </c>
      <c r="R159" s="11">
        <f t="shared" si="103"/>
        <v>101377201</v>
      </c>
      <c r="S159" s="11">
        <f t="shared" si="103"/>
        <v>101377201</v>
      </c>
      <c r="T159" s="11">
        <f t="shared" si="103"/>
        <v>101377201</v>
      </c>
      <c r="U159" s="11">
        <f t="shared" si="103"/>
        <v>101377201</v>
      </c>
      <c r="V159" s="11">
        <f t="shared" si="103"/>
        <v>101377201</v>
      </c>
      <c r="W159" s="11">
        <f t="shared" si="103"/>
        <v>101377201</v>
      </c>
      <c r="X159" s="11">
        <f t="shared" si="103"/>
        <v>101377201</v>
      </c>
      <c r="Y159" s="11">
        <f t="shared" si="103"/>
        <v>101377201</v>
      </c>
      <c r="Z159" s="11">
        <f t="shared" si="103"/>
        <v>101377201</v>
      </c>
      <c r="AA159" s="11">
        <f t="shared" si="103"/>
        <v>101377201</v>
      </c>
      <c r="AB159" s="11">
        <f t="shared" si="103"/>
        <v>101377201</v>
      </c>
      <c r="AC159" s="11">
        <f t="shared" si="103"/>
        <v>116986395</v>
      </c>
      <c r="AD159" s="11">
        <f t="shared" si="103"/>
        <v>116986395</v>
      </c>
      <c r="AE159" s="11">
        <f t="shared" si="103"/>
        <v>116986395</v>
      </c>
      <c r="AF159" s="11">
        <f t="shared" si="103"/>
        <v>116986395</v>
      </c>
      <c r="AG159" s="11">
        <f t="shared" si="103"/>
        <v>116986395</v>
      </c>
      <c r="AH159" s="11">
        <f t="shared" si="103"/>
        <v>116986395</v>
      </c>
      <c r="AI159" s="11">
        <f t="shared" ref="AI159:BN159" si="104">+AI11+AI50+AI89</f>
        <v>116986395</v>
      </c>
      <c r="AJ159" s="11">
        <f t="shared" si="104"/>
        <v>116986395</v>
      </c>
      <c r="AK159" s="11">
        <f t="shared" si="104"/>
        <v>116986395</v>
      </c>
      <c r="AL159" s="11">
        <f t="shared" si="104"/>
        <v>116986395</v>
      </c>
      <c r="AM159" s="11">
        <f t="shared" si="104"/>
        <v>116986395</v>
      </c>
      <c r="AN159" s="11">
        <f t="shared" si="104"/>
        <v>116986395</v>
      </c>
      <c r="AO159" s="11">
        <f t="shared" si="104"/>
        <v>116986395</v>
      </c>
      <c r="AP159" s="11">
        <f t="shared" si="104"/>
        <v>132270423</v>
      </c>
      <c r="AQ159" s="11">
        <f t="shared" si="104"/>
        <v>132270423</v>
      </c>
      <c r="AR159" s="11">
        <f t="shared" si="104"/>
        <v>132270423</v>
      </c>
      <c r="AS159" s="11">
        <f t="shared" si="104"/>
        <v>132270423</v>
      </c>
      <c r="AT159" s="11">
        <f t="shared" si="104"/>
        <v>132270423</v>
      </c>
      <c r="AU159" s="11">
        <f t="shared" si="104"/>
        <v>132270423</v>
      </c>
      <c r="AV159" s="11">
        <f t="shared" si="104"/>
        <v>132270423</v>
      </c>
      <c r="AW159" s="11">
        <f t="shared" si="104"/>
        <v>132270423</v>
      </c>
      <c r="AX159" s="11">
        <f t="shared" si="104"/>
        <v>132270423</v>
      </c>
      <c r="AY159" s="11">
        <f t="shared" si="104"/>
        <v>132270423</v>
      </c>
      <c r="AZ159" s="11">
        <f t="shared" si="104"/>
        <v>132270423</v>
      </c>
      <c r="BA159" s="11">
        <f t="shared" si="104"/>
        <v>132270423</v>
      </c>
      <c r="BB159" s="11">
        <f t="shared" si="104"/>
        <v>132270423</v>
      </c>
      <c r="BC159" s="11">
        <f t="shared" si="104"/>
        <v>128053264</v>
      </c>
      <c r="BD159" s="11">
        <f t="shared" si="104"/>
        <v>128053264</v>
      </c>
      <c r="BE159" s="11">
        <f t="shared" si="104"/>
        <v>128053264</v>
      </c>
      <c r="BF159" s="11">
        <f t="shared" si="104"/>
        <v>128053264</v>
      </c>
      <c r="BG159" s="11">
        <f t="shared" si="104"/>
        <v>128053264</v>
      </c>
      <c r="BH159" s="11">
        <f t="shared" si="104"/>
        <v>128053264</v>
      </c>
      <c r="BI159" s="11">
        <f t="shared" si="104"/>
        <v>128053264</v>
      </c>
      <c r="BJ159" s="11">
        <f t="shared" si="104"/>
        <v>128053264</v>
      </c>
      <c r="BK159" s="11">
        <f t="shared" si="104"/>
        <v>128053264</v>
      </c>
      <c r="BL159" s="11">
        <f t="shared" si="104"/>
        <v>128053264</v>
      </c>
      <c r="BM159" s="11">
        <f t="shared" si="104"/>
        <v>128053264</v>
      </c>
      <c r="BN159" s="11">
        <f t="shared" si="104"/>
        <v>128053264</v>
      </c>
      <c r="BO159" s="11">
        <f t="shared" ref="BO159:CB159" si="105">+BO11+BO50+BO89</f>
        <v>128053264</v>
      </c>
      <c r="BP159" s="11">
        <f t="shared" si="105"/>
        <v>112044847</v>
      </c>
      <c r="BQ159" s="11">
        <f t="shared" si="105"/>
        <v>112044847</v>
      </c>
      <c r="BR159" s="11">
        <f t="shared" si="105"/>
        <v>112044847</v>
      </c>
      <c r="BS159" s="11">
        <f t="shared" si="105"/>
        <v>112044847</v>
      </c>
      <c r="BT159" s="11">
        <f t="shared" si="105"/>
        <v>112044847</v>
      </c>
      <c r="BU159" s="11">
        <f t="shared" si="105"/>
        <v>112044847</v>
      </c>
      <c r="BV159" s="11">
        <f t="shared" si="105"/>
        <v>112044847</v>
      </c>
      <c r="BW159" s="11">
        <f t="shared" si="105"/>
        <v>0</v>
      </c>
      <c r="BX159" s="11">
        <f t="shared" si="105"/>
        <v>0</v>
      </c>
      <c r="BY159" s="11">
        <f t="shared" si="105"/>
        <v>0</v>
      </c>
      <c r="BZ159" s="11">
        <f t="shared" si="105"/>
        <v>0</v>
      </c>
      <c r="CA159" s="11">
        <f t="shared" si="105"/>
        <v>0</v>
      </c>
      <c r="CB159" s="11">
        <f t="shared" si="105"/>
        <v>112044847</v>
      </c>
    </row>
    <row r="160" spans="2:80" x14ac:dyDescent="0.3">
      <c r="B160" t="str">
        <f t="shared" si="93"/>
        <v>Dirección de Aeropuertos</v>
      </c>
      <c r="C160" s="11">
        <f t="shared" ref="C160:AH160" si="106">+C12+C51+C90</f>
        <v>107077898</v>
      </c>
      <c r="D160" s="11">
        <f t="shared" si="106"/>
        <v>107077898</v>
      </c>
      <c r="E160" s="11">
        <f t="shared" si="106"/>
        <v>107077898</v>
      </c>
      <c r="F160" s="11">
        <f t="shared" si="106"/>
        <v>107077898</v>
      </c>
      <c r="G160" s="11">
        <f t="shared" si="106"/>
        <v>107077898</v>
      </c>
      <c r="H160" s="11">
        <f t="shared" si="106"/>
        <v>107077898</v>
      </c>
      <c r="I160" s="11">
        <f t="shared" si="106"/>
        <v>107077898</v>
      </c>
      <c r="J160" s="11">
        <f t="shared" si="106"/>
        <v>107077898</v>
      </c>
      <c r="K160" s="11">
        <f t="shared" si="106"/>
        <v>107077898</v>
      </c>
      <c r="L160" s="11">
        <f t="shared" si="106"/>
        <v>107077898</v>
      </c>
      <c r="M160" s="11">
        <f t="shared" si="106"/>
        <v>107077898</v>
      </c>
      <c r="N160" s="11">
        <f t="shared" si="106"/>
        <v>107077898</v>
      </c>
      <c r="O160" s="11">
        <f t="shared" si="106"/>
        <v>107077898</v>
      </c>
      <c r="P160" s="11">
        <f t="shared" si="106"/>
        <v>117908324</v>
      </c>
      <c r="Q160" s="11">
        <f t="shared" si="106"/>
        <v>117908324</v>
      </c>
      <c r="R160" s="11">
        <f t="shared" si="106"/>
        <v>117908324</v>
      </c>
      <c r="S160" s="11">
        <f t="shared" si="106"/>
        <v>117908324</v>
      </c>
      <c r="T160" s="11">
        <f t="shared" si="106"/>
        <v>117908324</v>
      </c>
      <c r="U160" s="11">
        <f t="shared" si="106"/>
        <v>117908324</v>
      </c>
      <c r="V160" s="11">
        <f t="shared" si="106"/>
        <v>117908324</v>
      </c>
      <c r="W160" s="11">
        <f t="shared" si="106"/>
        <v>117908324</v>
      </c>
      <c r="X160" s="11">
        <f t="shared" si="106"/>
        <v>117908324</v>
      </c>
      <c r="Y160" s="11">
        <f t="shared" si="106"/>
        <v>117908324</v>
      </c>
      <c r="Z160" s="11">
        <f t="shared" si="106"/>
        <v>117908324</v>
      </c>
      <c r="AA160" s="11">
        <f t="shared" si="106"/>
        <v>117908324</v>
      </c>
      <c r="AB160" s="11">
        <f t="shared" si="106"/>
        <v>117908324</v>
      </c>
      <c r="AC160" s="11">
        <f t="shared" si="106"/>
        <v>135558590</v>
      </c>
      <c r="AD160" s="11">
        <f t="shared" si="106"/>
        <v>135558590</v>
      </c>
      <c r="AE160" s="11">
        <f t="shared" si="106"/>
        <v>135558590</v>
      </c>
      <c r="AF160" s="11">
        <f t="shared" si="106"/>
        <v>135558590</v>
      </c>
      <c r="AG160" s="11">
        <f t="shared" si="106"/>
        <v>135558590</v>
      </c>
      <c r="AH160" s="11">
        <f t="shared" si="106"/>
        <v>135558590</v>
      </c>
      <c r="AI160" s="11">
        <f t="shared" ref="AI160:BN160" si="107">+AI12+AI51+AI90</f>
        <v>135558590</v>
      </c>
      <c r="AJ160" s="11">
        <f t="shared" si="107"/>
        <v>135558590</v>
      </c>
      <c r="AK160" s="11">
        <f t="shared" si="107"/>
        <v>135558590</v>
      </c>
      <c r="AL160" s="11">
        <f t="shared" si="107"/>
        <v>135558590</v>
      </c>
      <c r="AM160" s="11">
        <f t="shared" si="107"/>
        <v>135558590</v>
      </c>
      <c r="AN160" s="11">
        <f t="shared" si="107"/>
        <v>135558590</v>
      </c>
      <c r="AO160" s="11">
        <f t="shared" si="107"/>
        <v>135558590</v>
      </c>
      <c r="AP160" s="11">
        <f t="shared" si="107"/>
        <v>137993176</v>
      </c>
      <c r="AQ160" s="11">
        <f t="shared" si="107"/>
        <v>137993176</v>
      </c>
      <c r="AR160" s="11">
        <f t="shared" si="107"/>
        <v>137993176</v>
      </c>
      <c r="AS160" s="11">
        <f t="shared" si="107"/>
        <v>137993176</v>
      </c>
      <c r="AT160" s="11">
        <f t="shared" si="107"/>
        <v>137993176</v>
      </c>
      <c r="AU160" s="11">
        <f t="shared" si="107"/>
        <v>137993176</v>
      </c>
      <c r="AV160" s="11">
        <f t="shared" si="107"/>
        <v>137993176</v>
      </c>
      <c r="AW160" s="11">
        <f t="shared" si="107"/>
        <v>137993176</v>
      </c>
      <c r="AX160" s="11">
        <f t="shared" si="107"/>
        <v>137993176</v>
      </c>
      <c r="AY160" s="11">
        <f t="shared" si="107"/>
        <v>137993176</v>
      </c>
      <c r="AZ160" s="11">
        <f t="shared" si="107"/>
        <v>137993176</v>
      </c>
      <c r="BA160" s="11">
        <f t="shared" si="107"/>
        <v>137993176</v>
      </c>
      <c r="BB160" s="11">
        <f t="shared" si="107"/>
        <v>137993176</v>
      </c>
      <c r="BC160" s="11">
        <f t="shared" si="107"/>
        <v>142750398</v>
      </c>
      <c r="BD160" s="11">
        <f t="shared" si="107"/>
        <v>142750398</v>
      </c>
      <c r="BE160" s="11">
        <f t="shared" si="107"/>
        <v>142750398</v>
      </c>
      <c r="BF160" s="11">
        <f t="shared" si="107"/>
        <v>142750398</v>
      </c>
      <c r="BG160" s="11">
        <f t="shared" si="107"/>
        <v>142750398</v>
      </c>
      <c r="BH160" s="11">
        <f t="shared" si="107"/>
        <v>142750398</v>
      </c>
      <c r="BI160" s="11">
        <f t="shared" si="107"/>
        <v>142750398</v>
      </c>
      <c r="BJ160" s="11">
        <f t="shared" si="107"/>
        <v>142750398</v>
      </c>
      <c r="BK160" s="11">
        <f t="shared" si="107"/>
        <v>142750398</v>
      </c>
      <c r="BL160" s="11">
        <f t="shared" si="107"/>
        <v>142750398</v>
      </c>
      <c r="BM160" s="11">
        <f t="shared" si="107"/>
        <v>142750398</v>
      </c>
      <c r="BN160" s="11">
        <f t="shared" si="107"/>
        <v>142750398</v>
      </c>
      <c r="BO160" s="11">
        <f t="shared" ref="BO160:CB160" si="108">+BO12+BO51+BO90</f>
        <v>142750398</v>
      </c>
      <c r="BP160" s="11">
        <f t="shared" si="108"/>
        <v>127904989</v>
      </c>
      <c r="BQ160" s="11">
        <f t="shared" si="108"/>
        <v>127904989</v>
      </c>
      <c r="BR160" s="11">
        <f t="shared" si="108"/>
        <v>127904989</v>
      </c>
      <c r="BS160" s="11">
        <f t="shared" si="108"/>
        <v>127904989</v>
      </c>
      <c r="BT160" s="11">
        <f t="shared" si="108"/>
        <v>127904989</v>
      </c>
      <c r="BU160" s="11">
        <f t="shared" si="108"/>
        <v>127904989</v>
      </c>
      <c r="BV160" s="11">
        <f t="shared" si="108"/>
        <v>127904989</v>
      </c>
      <c r="BW160" s="11">
        <f t="shared" si="108"/>
        <v>0</v>
      </c>
      <c r="BX160" s="11">
        <f t="shared" si="108"/>
        <v>0</v>
      </c>
      <c r="BY160" s="11">
        <f t="shared" si="108"/>
        <v>0</v>
      </c>
      <c r="BZ160" s="11">
        <f t="shared" si="108"/>
        <v>0</v>
      </c>
      <c r="CA160" s="11">
        <f t="shared" si="108"/>
        <v>0</v>
      </c>
      <c r="CB160" s="11">
        <f t="shared" si="108"/>
        <v>127904989</v>
      </c>
    </row>
    <row r="161" spans="2:80" x14ac:dyDescent="0.3">
      <c r="B161" t="str">
        <f t="shared" si="93"/>
        <v>Dirección de Arquitectura</v>
      </c>
      <c r="C161" s="11">
        <f t="shared" ref="C161:AH161" si="109">+C13+C52+C91</f>
        <v>37073180</v>
      </c>
      <c r="D161" s="11">
        <f t="shared" si="109"/>
        <v>37073180</v>
      </c>
      <c r="E161" s="11">
        <f t="shared" si="109"/>
        <v>37073180</v>
      </c>
      <c r="F161" s="11">
        <f t="shared" si="109"/>
        <v>37073180</v>
      </c>
      <c r="G161" s="11">
        <f t="shared" si="109"/>
        <v>37073180</v>
      </c>
      <c r="H161" s="11">
        <f t="shared" si="109"/>
        <v>37073180</v>
      </c>
      <c r="I161" s="11">
        <f t="shared" si="109"/>
        <v>37073180</v>
      </c>
      <c r="J161" s="11">
        <f t="shared" si="109"/>
        <v>37073180</v>
      </c>
      <c r="K161" s="11">
        <f t="shared" si="109"/>
        <v>37073180</v>
      </c>
      <c r="L161" s="11">
        <f t="shared" si="109"/>
        <v>37073180</v>
      </c>
      <c r="M161" s="11">
        <f t="shared" si="109"/>
        <v>37073180</v>
      </c>
      <c r="N161" s="11">
        <f t="shared" si="109"/>
        <v>37073180</v>
      </c>
      <c r="O161" s="11">
        <f t="shared" si="109"/>
        <v>37073180</v>
      </c>
      <c r="P161" s="11">
        <f t="shared" si="109"/>
        <v>41208334</v>
      </c>
      <c r="Q161" s="11">
        <f t="shared" si="109"/>
        <v>41208334</v>
      </c>
      <c r="R161" s="11">
        <f t="shared" si="109"/>
        <v>41208334</v>
      </c>
      <c r="S161" s="11">
        <f t="shared" si="109"/>
        <v>41208334</v>
      </c>
      <c r="T161" s="11">
        <f t="shared" si="109"/>
        <v>41208334</v>
      </c>
      <c r="U161" s="11">
        <f t="shared" si="109"/>
        <v>41208334</v>
      </c>
      <c r="V161" s="11">
        <f t="shared" si="109"/>
        <v>41208334</v>
      </c>
      <c r="W161" s="11">
        <f t="shared" si="109"/>
        <v>41208334</v>
      </c>
      <c r="X161" s="11">
        <f t="shared" si="109"/>
        <v>41208334</v>
      </c>
      <c r="Y161" s="11">
        <f t="shared" si="109"/>
        <v>41208334</v>
      </c>
      <c r="Z161" s="11">
        <f t="shared" si="109"/>
        <v>41208334</v>
      </c>
      <c r="AA161" s="11">
        <f t="shared" si="109"/>
        <v>41208334</v>
      </c>
      <c r="AB161" s="11">
        <f t="shared" si="109"/>
        <v>41208334</v>
      </c>
      <c r="AC161" s="11">
        <f t="shared" si="109"/>
        <v>38146983</v>
      </c>
      <c r="AD161" s="11">
        <f t="shared" si="109"/>
        <v>38146983</v>
      </c>
      <c r="AE161" s="11">
        <f t="shared" si="109"/>
        <v>38146983</v>
      </c>
      <c r="AF161" s="11">
        <f t="shared" si="109"/>
        <v>38146983</v>
      </c>
      <c r="AG161" s="11">
        <f t="shared" si="109"/>
        <v>38146983</v>
      </c>
      <c r="AH161" s="11">
        <f t="shared" si="109"/>
        <v>38146983</v>
      </c>
      <c r="AI161" s="11">
        <f t="shared" ref="AI161:BN161" si="110">+AI13+AI52+AI91</f>
        <v>38146983</v>
      </c>
      <c r="AJ161" s="11">
        <f t="shared" si="110"/>
        <v>38146983</v>
      </c>
      <c r="AK161" s="11">
        <f t="shared" si="110"/>
        <v>38146983</v>
      </c>
      <c r="AL161" s="11">
        <f t="shared" si="110"/>
        <v>38146983</v>
      </c>
      <c r="AM161" s="11">
        <f t="shared" si="110"/>
        <v>38146983</v>
      </c>
      <c r="AN161" s="11">
        <f t="shared" si="110"/>
        <v>38146983</v>
      </c>
      <c r="AO161" s="11">
        <f t="shared" si="110"/>
        <v>38146983</v>
      </c>
      <c r="AP161" s="11">
        <f t="shared" si="110"/>
        <v>45185895</v>
      </c>
      <c r="AQ161" s="11">
        <f t="shared" si="110"/>
        <v>45185895</v>
      </c>
      <c r="AR161" s="11">
        <f t="shared" si="110"/>
        <v>45185895</v>
      </c>
      <c r="AS161" s="11">
        <f t="shared" si="110"/>
        <v>45185895</v>
      </c>
      <c r="AT161" s="11">
        <f t="shared" si="110"/>
        <v>45185895</v>
      </c>
      <c r="AU161" s="11">
        <f t="shared" si="110"/>
        <v>45185895</v>
      </c>
      <c r="AV161" s="11">
        <f t="shared" si="110"/>
        <v>45185895</v>
      </c>
      <c r="AW161" s="11">
        <f t="shared" si="110"/>
        <v>45185895</v>
      </c>
      <c r="AX161" s="11">
        <f t="shared" si="110"/>
        <v>45185895</v>
      </c>
      <c r="AY161" s="11">
        <f t="shared" si="110"/>
        <v>45185895</v>
      </c>
      <c r="AZ161" s="11">
        <f t="shared" si="110"/>
        <v>45185895</v>
      </c>
      <c r="BA161" s="11">
        <f t="shared" si="110"/>
        <v>45185895</v>
      </c>
      <c r="BB161" s="11">
        <f t="shared" si="110"/>
        <v>45185895</v>
      </c>
      <c r="BC161" s="11">
        <f t="shared" si="110"/>
        <v>57665235</v>
      </c>
      <c r="BD161" s="11">
        <f t="shared" si="110"/>
        <v>57665235</v>
      </c>
      <c r="BE161" s="11">
        <f t="shared" si="110"/>
        <v>57665235</v>
      </c>
      <c r="BF161" s="11">
        <f t="shared" si="110"/>
        <v>57665235</v>
      </c>
      <c r="BG161" s="11">
        <f t="shared" si="110"/>
        <v>57665235</v>
      </c>
      <c r="BH161" s="11">
        <f t="shared" si="110"/>
        <v>57665235</v>
      </c>
      <c r="BI161" s="11">
        <f t="shared" si="110"/>
        <v>57665235</v>
      </c>
      <c r="BJ161" s="11">
        <f t="shared" si="110"/>
        <v>57665235</v>
      </c>
      <c r="BK161" s="11">
        <f t="shared" si="110"/>
        <v>57665235</v>
      </c>
      <c r="BL161" s="11">
        <f t="shared" si="110"/>
        <v>57665235</v>
      </c>
      <c r="BM161" s="11">
        <f t="shared" si="110"/>
        <v>57665235</v>
      </c>
      <c r="BN161" s="11">
        <f t="shared" si="110"/>
        <v>57665235</v>
      </c>
      <c r="BO161" s="11">
        <f t="shared" ref="BO161:CB161" si="111">+BO13+BO52+BO91</f>
        <v>57665235</v>
      </c>
      <c r="BP161" s="11">
        <f t="shared" si="111"/>
        <v>30872482</v>
      </c>
      <c r="BQ161" s="11">
        <f t="shared" si="111"/>
        <v>30872482</v>
      </c>
      <c r="BR161" s="11">
        <f t="shared" si="111"/>
        <v>30872482</v>
      </c>
      <c r="BS161" s="11">
        <f t="shared" si="111"/>
        <v>30872482</v>
      </c>
      <c r="BT161" s="11">
        <f t="shared" si="111"/>
        <v>30872482</v>
      </c>
      <c r="BU161" s="11">
        <f t="shared" si="111"/>
        <v>30872482</v>
      </c>
      <c r="BV161" s="11">
        <f t="shared" si="111"/>
        <v>30872482</v>
      </c>
      <c r="BW161" s="11">
        <f t="shared" si="111"/>
        <v>0</v>
      </c>
      <c r="BX161" s="11">
        <f t="shared" si="111"/>
        <v>0</v>
      </c>
      <c r="BY161" s="11">
        <f t="shared" si="111"/>
        <v>0</v>
      </c>
      <c r="BZ161" s="11">
        <f t="shared" si="111"/>
        <v>0</v>
      </c>
      <c r="CA161" s="11">
        <f t="shared" si="111"/>
        <v>0</v>
      </c>
      <c r="CB161" s="11">
        <f t="shared" si="111"/>
        <v>30872482</v>
      </c>
    </row>
  </sheetData>
  <mergeCells count="86">
    <mergeCell ref="B2:F2"/>
    <mergeCell ref="BC108:BO108"/>
    <mergeCell ref="AC96:AO96"/>
    <mergeCell ref="B68:CB68"/>
    <mergeCell ref="B83:CB83"/>
    <mergeCell ref="BC30:BO30"/>
    <mergeCell ref="P69:AB69"/>
    <mergeCell ref="P84:AB84"/>
    <mergeCell ref="AC6:AO6"/>
    <mergeCell ref="B17:CB17"/>
    <mergeCell ref="AC108:AO108"/>
    <mergeCell ref="BC69:BO69"/>
    <mergeCell ref="P108:AB108"/>
    <mergeCell ref="B105:CB105"/>
    <mergeCell ref="P57:AB57"/>
    <mergeCell ref="AC84:AO84"/>
    <mergeCell ref="B5:CB5"/>
    <mergeCell ref="P6:AB6"/>
    <mergeCell ref="BC57:BO57"/>
    <mergeCell ref="BC18:BO18"/>
    <mergeCell ref="AP108:BB108"/>
    <mergeCell ref="B39:CB39"/>
    <mergeCell ref="B78:CB78"/>
    <mergeCell ref="C69:O69"/>
    <mergeCell ref="AP57:BB57"/>
    <mergeCell ref="C96:O96"/>
    <mergeCell ref="BC84:BO84"/>
    <mergeCell ref="AP6:BB6"/>
    <mergeCell ref="P18:AB18"/>
    <mergeCell ref="B107:CB107"/>
    <mergeCell ref="B128:CB128"/>
    <mergeCell ref="C30:O30"/>
    <mergeCell ref="AP18:BB18"/>
    <mergeCell ref="C6:O6"/>
    <mergeCell ref="AC45:AO45"/>
    <mergeCell ref="BC6:BO6"/>
    <mergeCell ref="BP57:CB57"/>
    <mergeCell ref="BP18:CB18"/>
    <mergeCell ref="BC45:BO45"/>
    <mergeCell ref="B66:CB66"/>
    <mergeCell ref="AP69:BB69"/>
    <mergeCell ref="AP84:BB84"/>
    <mergeCell ref="BC96:BO96"/>
    <mergeCell ref="B27:CB27"/>
    <mergeCell ref="B93:CB93"/>
    <mergeCell ref="AP30:BB30"/>
    <mergeCell ref="B130:CB130"/>
    <mergeCell ref="B117:CB117"/>
    <mergeCell ref="BP84:CB84"/>
    <mergeCell ref="C57:O57"/>
    <mergeCell ref="BP6:CB6"/>
    <mergeCell ref="B29:CB29"/>
    <mergeCell ref="BP108:CB108"/>
    <mergeCell ref="AP96:BB96"/>
    <mergeCell ref="C108:O108"/>
    <mergeCell ref="B127:CB127"/>
    <mergeCell ref="B15:CB15"/>
    <mergeCell ref="C45:O45"/>
    <mergeCell ref="B95:CB95"/>
    <mergeCell ref="P96:AB96"/>
    <mergeCell ref="AC30:AO30"/>
    <mergeCell ref="C84:O84"/>
    <mergeCell ref="B129:CB129"/>
    <mergeCell ref="B81:CB81"/>
    <mergeCell ref="B121:CB121"/>
    <mergeCell ref="B3:CB3"/>
    <mergeCell ref="B122:CB122"/>
    <mergeCell ref="AC69:AO69"/>
    <mergeCell ref="B42:CB42"/>
    <mergeCell ref="AP45:BB45"/>
    <mergeCell ref="BP69:CB69"/>
    <mergeCell ref="P30:AB30"/>
    <mergeCell ref="B44:CB44"/>
    <mergeCell ref="BP30:CB30"/>
    <mergeCell ref="P45:AB45"/>
    <mergeCell ref="C18:O18"/>
    <mergeCell ref="AC57:AO57"/>
    <mergeCell ref="BP45:CB45"/>
    <mergeCell ref="B124:CB124"/>
    <mergeCell ref="AC18:AO18"/>
    <mergeCell ref="B126:CB126"/>
    <mergeCell ref="BP96:CB96"/>
    <mergeCell ref="B54:CB54"/>
    <mergeCell ref="B125:CB125"/>
    <mergeCell ref="B56:CB56"/>
    <mergeCell ref="B123:CB123"/>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Dashboard</vt:lpstr>
      <vt:lpstr>MOP_Mes_Corriente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Aldo Manuel Herrera Hernandez</cp:lastModifiedBy>
  <dcterms:created xsi:type="dcterms:W3CDTF">2026-09-02T20:45:15Z</dcterms:created>
  <dcterms:modified xsi:type="dcterms:W3CDTF">2026-09-09T16:42:53Z</dcterms:modified>
</cp:coreProperties>
</file>